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Requirements Tracker" sheetId="1" state="visible" r:id="rId3"/>
    <sheet name="Summary by Section" sheetId="2" state="visible" r:id="rId4"/>
    <sheet name="Open Dependencies" sheetId="3" state="visible" r:id="rId5"/>
    <sheet name="How to Use" sheetId="4" state="visible" r:id="rId6"/>
  </sheets>
  <definedNames>
    <definedName function="false" hidden="false" localSheetId="0" name="_xlnm.Print_Titles" vbProcedure="false">'Master Requirements Tracker'!$8:$8</definedName>
    <definedName function="false" hidden="true" localSheetId="0" name="_xlnm._FilterDatabase" vbProcedure="false">'Master Requirements Tracker'!$B$8:$M$158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<sst xmlns="http://schemas.openxmlformats.org/spreadsheetml/2006/main" count="1524" uniqueCount="724">
  <si>
    <t xml:space="preserve">Nibbl AI — Master Requirements Tracker</t>
  </si>
  <si>
    <t xml:space="preserve">Mapped to the Master Document (Nibbl_Master_Requirements_Consistency_Final). Status as of 11 Oct 2026. One row per requirement. Completed = works end to end, tested and can be demonstrated; anything with a missing piece stays In Progress.</t>
  </si>
  <si>
    <t xml:space="preserve">TOTAL REQUIREMENTS</t>
  </si>
  <si>
    <t xml:space="preserve">COMPLETED</t>
  </si>
  <si>
    <t xml:space="preserve">IN PROGRESS</t>
  </si>
  <si>
    <t xml:space="preserve">IN REVIEW</t>
  </si>
  <si>
    <t xml:space="preserve">PLANNED</t>
  </si>
  <si>
    <t xml:space="preserve">COMPLETION RATE</t>
  </si>
  <si>
    <t xml:space="preserve">Master Document requirements</t>
  </si>
  <si>
    <t xml:space="preserve">Works end to end, tested, demoable</t>
  </si>
  <si>
    <t xml:space="preserve">Partly built — gap in Notes</t>
  </si>
  <si>
    <t xml:space="preserve">Waiting on a third party</t>
  </si>
  <si>
    <t xml:space="preserve">Not started yet</t>
  </si>
  <si>
    <t xml:space="preserve">Completed ÷ total</t>
  </si>
  <si>
    <t xml:space="preserve">#</t>
  </si>
  <si>
    <t xml:space="preserve">Master Document Section</t>
  </si>
  <si>
    <t xml:space="preserve">Master Requirement</t>
  </si>
  <si>
    <t xml:space="preserve">What Was Delivered</t>
  </si>
  <si>
    <t xml:space="preserve">Status</t>
  </si>
  <si>
    <t xml:space="preserve">Platform</t>
  </si>
  <si>
    <t xml:space="preserve">Mobile App</t>
  </si>
  <si>
    <t xml:space="preserve">Where to See It</t>
  </si>
  <si>
    <t xml:space="preserve">How to Test</t>
  </si>
  <si>
    <t xml:space="preserve">Open Items / Notes</t>
  </si>
  <si>
    <t xml:space="preserve">Evidence (screenshot / video link)</t>
  </si>
  <si>
    <t xml:space="preserve">Checklist Ref</t>
  </si>
  <si>
    <t xml:space="preserve">Brand Dashboard Home</t>
  </si>
  <si>
    <t xml:space="preserve">Brand name in header and welcome message</t>
  </si>
  <si>
    <t xml:space="preserve">Brand name from Brand Settings.</t>
  </si>
  <si>
    <t xml:space="preserve">Completed</t>
  </si>
  <si>
    <t xml:space="preserve">Brand Dashboard</t>
  </si>
  <si>
    <t xml:space="preserve">—</t>
  </si>
  <si>
    <t xml:space="preserve">Dashboard</t>
  </si>
  <si>
    <t xml:space="preserve">Log in as a brand; check the welcome line.</t>
  </si>
  <si>
    <t xml:space="preserve">#1</t>
  </si>
  <si>
    <t xml:space="preserve">Navigation includes Tag Generator and Plans</t>
  </si>
  <si>
    <t xml:space="preserve">Both in the sidebar.</t>
  </si>
  <si>
    <t xml:space="preserve">Sidebar</t>
  </si>
  <si>
    <t xml:space="preserve">Open both pages.</t>
  </si>
  <si>
    <t xml:space="preserve">#35, #37</t>
  </si>
  <si>
    <t xml:space="preserve">Current plan shown once, linked to Plans</t>
  </si>
  <si>
    <t xml:space="preserve">Plan name in the header opens Plans.</t>
  </si>
  <si>
    <t xml:space="preserve">Header → Plan</t>
  </si>
  <si>
    <t xml:space="preserve">Click the plan name.</t>
  </si>
  <si>
    <t xml:space="preserve">#35</t>
  </si>
  <si>
    <t xml:space="preserve">Available Funds in header, linked to Wallet</t>
  </si>
  <si>
    <t xml:space="preserve">Shows current Available Funds; opens Wallet.</t>
  </si>
  <si>
    <t xml:space="preserve">Header</t>
  </si>
  <si>
    <t xml:space="preserve">Click Available Funds.</t>
  </si>
  <si>
    <t xml:space="preserve">Date range — default Last 30 Days, selectable</t>
  </si>
  <si>
    <t xml:space="preserve">Date range selector (7 / 30 / 90 days / 12 months) drives both snapshots and the Campaign Performance table.</t>
  </si>
  <si>
    <t xml:space="preserve">Brand Dashboard + Backend / API</t>
  </si>
  <si>
    <t xml:space="preserve">Dashboard → Date range</t>
  </si>
  <si>
    <t xml:space="preserve">Switch the range; snapshot titles and table results update.</t>
  </si>
  <si>
    <t xml:space="preserve">Rebate snapshot: claims, redemptions, redemption rate, Total Brand Cost + cost per redemption</t>
  </si>
  <si>
    <t xml:space="preserve">As specified, no mini charts/badges.</t>
  </si>
  <si>
    <t xml:space="preserve">Compare with Redemptions for 30 days.</t>
  </si>
  <si>
    <t xml:space="preserve">#1, #28</t>
  </si>
  <si>
    <t xml:space="preserve">Review snapshot: invitations, completed, completion rate, Total Brand Cost + cost per review</t>
  </si>
  <si>
    <t xml:space="preserve">As specified.</t>
  </si>
  <si>
    <t xml:space="preserve">Compare with Review Management.</t>
  </si>
  <si>
    <t xml:space="preserve">Campaign Performance table (incl. ended; type filter; spend; results)</t>
  </si>
  <si>
    <t xml:space="preserve">Rebate + review campaigns; results = claims / redemptions or invitations / completed reviews for the selected range.</t>
  </si>
  <si>
    <t xml:space="preserve">Dashboard → Campaign Performance</t>
  </si>
  <si>
    <t xml:space="preserve">Filter by type; check review results.</t>
  </si>
  <si>
    <t xml:space="preserve">Product Library</t>
  </si>
  <si>
    <t xml:space="preserve">Page controls: product count + Add Product</t>
  </si>
  <si>
    <t xml:space="preserve">Count and Add Product button.</t>
  </si>
  <si>
    <t xml:space="preserve">Open Product Library.</t>
  </si>
  <si>
    <t xml:space="preserve">#2</t>
  </si>
  <si>
    <t xml:space="preserve">Product cards: image, name/flavor/size, rating, category, Product ID, receipt alias count, Edit</t>
  </si>
  <si>
    <t xml:space="preserve">Cards with image, details, rating, Edit.</t>
  </si>
  <si>
    <t xml:space="preserve">In Progress</t>
  </si>
  <si>
    <t xml:space="preserve">Compare a card with the Master mockup.</t>
  </si>
  <si>
    <t xml:space="preserve">Alias count on the card to confirm against the mockup.</t>
  </si>
  <si>
    <t xml:space="preserve">Product identity: separate record per flavor/size with permanent Product ID</t>
  </si>
  <si>
    <t xml:space="preserve">Flavor, format, size fields; ID assigned on save.</t>
  </si>
  <si>
    <t xml:space="preserve">Add / Edit Product</t>
  </si>
  <si>
    <t xml:space="preserve">Create two sizes of one product.</t>
  </si>
  <si>
    <t xml:space="preserve">Separate Unit and Pack Count fields from the mockup aren't built (size is one field).</t>
  </si>
  <si>
    <t xml:space="preserve">Product description kept for AI review questions</t>
  </si>
  <si>
    <t xml:space="preserve">Description sent to the AI for review questions.</t>
  </si>
  <si>
    <t xml:space="preserve">Fill the description.</t>
  </si>
  <si>
    <t xml:space="preserve">#2, #24</t>
  </si>
  <si>
    <t xml:space="preserve">Standardized, admin-managed categories; brands can request a category</t>
  </si>
  <si>
    <t xml:space="preserve">Category is free text today.</t>
  </si>
  <si>
    <t xml:space="preserve">Planned</t>
  </si>
  <si>
    <t xml:space="preserve">Brand Dashboard + Admin Dashboard</t>
  </si>
  <si>
    <t xml:space="preserve">Admin category list + 'Request category' not built.</t>
  </si>
  <si>
    <t xml:space="preserve">Optional UPC / SKU</t>
  </si>
  <si>
    <t xml:space="preserve">SKU field stored.</t>
  </si>
  <si>
    <t xml:space="preserve">Enter a SKU and save.</t>
  </si>
  <si>
    <t xml:space="preserve">Receipt matching aliases: retailer + receipt text + optional item code</t>
  </si>
  <si>
    <t xml:space="preserve">Aliases (receipt text) added on the product or saved in manual review.</t>
  </si>
  <si>
    <t xml:space="preserve">Product → Aliases; Redemptions → review</t>
  </si>
  <si>
    <t xml:space="preserve">Add an alias and upload a matching receipt.</t>
  </si>
  <si>
    <t xml:space="preserve">Alias retailer and item code fields not built (text only).</t>
  </si>
  <si>
    <t xml:space="preserve">#2, #21</t>
  </si>
  <si>
    <t xml:space="preserve">Clickable rating opens Review Management filtered to the product</t>
  </si>
  <si>
    <t xml:space="preserve">Rating links to filtered Review Management.</t>
  </si>
  <si>
    <t xml:space="preserve">Product details → rating</t>
  </si>
  <si>
    <t xml:space="preserve">Click a product rating.</t>
  </si>
  <si>
    <t xml:space="preserve">#3</t>
  </si>
  <si>
    <t xml:space="preserve">Add Product: same single-page fields as Edit; ID assigned on save</t>
  </si>
  <si>
    <t xml:space="preserve">Same form for add and edit.</t>
  </si>
  <si>
    <t xml:space="preserve">Add Product</t>
  </si>
  <si>
    <t xml:space="preserve">Add a product.</t>
  </si>
  <si>
    <t xml:space="preserve">Delete Product: type DELETE; history preserved</t>
  </si>
  <si>
    <t xml:space="preserve">Confirmation + archive keeps reviews/redemptions.</t>
  </si>
  <si>
    <t xml:space="preserve">Edit Product → Delete</t>
  </si>
  <si>
    <t xml:space="preserve">Delete with and without typing DELETE.</t>
  </si>
  <si>
    <t xml:space="preserve">Rebate Campaigns List</t>
  </si>
  <si>
    <t xml:space="preserve">Status tabs with counts (Draft, Pending Review, Scheduled, Active, Paused, Changes Requested, Ended)</t>
  </si>
  <si>
    <t xml:space="preserve">Status tabs on the rebate list.</t>
  </si>
  <si>
    <t xml:space="preserve">Rebate Campaigns</t>
  </si>
  <si>
    <t xml:space="preserve">Switch tabs.</t>
  </si>
  <si>
    <t xml:space="preserve">#7</t>
  </si>
  <si>
    <t xml:space="preserve">'X of Y active campaigns used — Upgrade' banner</t>
  </si>
  <si>
    <t xml:space="preserve">Usage bar with plan name and Upgrade button to Plans.</t>
  </si>
  <si>
    <t xml:space="preserve">Activate campaigns up to the limit; click Upgrade.</t>
  </si>
  <si>
    <t xml:space="preserve">#34</t>
  </si>
  <si>
    <t xml:space="preserve">Campaign cards: image, claims, active claims, pending review, redemptions, rate, total spend, current cycle claims</t>
  </si>
  <si>
    <t xml:space="preserve">Cards with metrics and 'X of Y' current cycle.</t>
  </si>
  <si>
    <t xml:space="preserve">Compare a card with its detail page.</t>
  </si>
  <si>
    <t xml:space="preserve">#4, #7</t>
  </si>
  <si>
    <t xml:space="preserve">Create Rebate Campaign</t>
  </si>
  <si>
    <t xml:space="preserve">① Basics: internal name, start/end, campaign image</t>
  </si>
  <si>
    <t xml:space="preserve">Rebate → Create</t>
  </si>
  <si>
    <t xml:space="preserve">Create a draft.</t>
  </si>
  <si>
    <t xml:space="preserve">#5</t>
  </si>
  <si>
    <t xml:space="preserve">② Eligible products (search, select, same-category check)</t>
  </si>
  <si>
    <t xml:space="preserve">Product search and selection.</t>
  </si>
  <si>
    <t xml:space="preserve">Select 3 products.</t>
  </si>
  <si>
    <t xml:space="preserve">③ Offer setup: Free / BOGO Free / Buy 1 Get 1 50% / Buy X Get $Y</t>
  </si>
  <si>
    <t xml:space="preserve">All four with locked reward math.</t>
  </si>
  <si>
    <t xml:space="preserve">Create one of each.</t>
  </si>
  <si>
    <t xml:space="preserve">④ Offer details &amp; shopper wording (suggested, editable, 100/250 limits) + locked system rules</t>
  </si>
  <si>
    <t xml:space="preserve">Suggested wording + locked rules summary.</t>
  </si>
  <si>
    <t xml:space="preserve">Edit the headline.</t>
  </si>
  <si>
    <t xml:space="preserve">⑤ Retailer availability, Request/Add Retailer, up to 3 Featured</t>
  </si>
  <si>
    <t xml:space="preserve">Directory, add retailer, featured.</t>
  </si>
  <si>
    <t xml:space="preserve">Add a retailer; pick featured.</t>
  </si>
  <si>
    <t xml:space="preserve">#10</t>
  </si>
  <si>
    <t xml:space="preserve">⑥ Receipt eligibility: Any Retailer / Retailer Required</t>
  </si>
  <si>
    <t xml:space="preserve">Enforced on receipts; saved on claim.</t>
  </si>
  <si>
    <t xml:space="preserve">Set Retailer Required; upload another store's receipt.</t>
  </si>
  <si>
    <t xml:space="preserve">⑦ 25-Hour Claim Capacity (desired ÷ rate)</t>
  </si>
  <si>
    <t xml:space="preserve">Live calculation; cycles from activation.</t>
  </si>
  <si>
    <t xml:space="preserve">Check the calculated capacity.</t>
  </si>
  <si>
    <t xml:space="preserve">#4</t>
  </si>
  <si>
    <t xml:space="preserve">⑧ Customer cooldown (none / 30 / 60 / 90 / one time)</t>
  </si>
  <si>
    <t xml:space="preserve">Campaign-specific cooldown from approved redemption.</t>
  </si>
  <si>
    <t xml:space="preserve">Redeem, then try to claim again.</t>
  </si>
  <si>
    <t xml:space="preserve">#8, #12</t>
  </si>
  <si>
    <t xml:space="preserve">Discovery geography (Nationwide / States / ZIP + radius)</t>
  </si>
  <si>
    <t xml:space="preserve">All three, multiple areas.</t>
  </si>
  <si>
    <t xml:space="preserve">Set ZIP radius; test from outside it.</t>
  </si>
  <si>
    <t xml:space="preserve">#13</t>
  </si>
  <si>
    <t xml:space="preserve">Meta Pixel tracking on/off (validated Pixel ID only)</t>
  </si>
  <si>
    <t xml:space="preserve">Per-campaign switch; Pixel from Settings.</t>
  </si>
  <si>
    <t xml:space="preserve">Brand Dashboard + Shopper Website</t>
  </si>
  <si>
    <t xml:space="preserve">Campaign page</t>
  </si>
  <si>
    <t xml:space="preserve">Turn tracking on.</t>
  </si>
  <si>
    <t xml:space="preserve">Pixel validation is a format check.</t>
  </si>
  <si>
    <t xml:space="preserve">#11</t>
  </si>
  <si>
    <t xml:space="preserve">Live shopper preview (same data as published offer)</t>
  </si>
  <si>
    <t xml:space="preserve">Live preview in builder.</t>
  </si>
  <si>
    <t xml:space="preserve">Edit and watch the preview.</t>
  </si>
  <si>
    <t xml:space="preserve">Save Draft / Submit for Nibbl Review; revisions keep approved version live</t>
  </si>
  <si>
    <t xml:space="preserve">Full approval workflow.</t>
  </si>
  <si>
    <t xml:space="preserve">Campaign page; Admin → Approvals</t>
  </si>
  <si>
    <t xml:space="preserve">Submit, request changes, approve.</t>
  </si>
  <si>
    <t xml:space="preserve">#7, #44</t>
  </si>
  <si>
    <t xml:space="preserve">Existing reservation rule snapshot</t>
  </si>
  <si>
    <t xml:space="preserve">Each claim keeps its terms.</t>
  </si>
  <si>
    <t xml:space="preserve">Backend / API</t>
  </si>
  <si>
    <t xml:space="preserve">Backend</t>
  </si>
  <si>
    <t xml:space="preserve">Edit a live campaign; old claim unchanged.</t>
  </si>
  <si>
    <t xml:space="preserve">#8</t>
  </si>
  <si>
    <t xml:space="preserve">Offer Type Inputs &amp; Shopper Output</t>
  </si>
  <si>
    <t xml:space="preserve">Reward math per offer type, net eligible price, rounding; shopper output sources</t>
  </si>
  <si>
    <t xml:space="preserve">Backend / API + Shopper Website</t>
  </si>
  <si>
    <t xml:space="preserve">Website → offer page</t>
  </si>
  <si>
    <t xml:space="preserve">Compare offer page with campaign.</t>
  </si>
  <si>
    <t xml:space="preserve">Campaign Detail Page</t>
  </si>
  <si>
    <t xml:space="preserve">① Status · ② Summary + Preview Offer · ④ Performance · ⑤ Current cycle · ⑥ Review activity · ⑦ Actions</t>
  </si>
  <si>
    <t xml:space="preserve">All sections.</t>
  </si>
  <si>
    <t xml:space="preserve">Rebate → View Details</t>
  </si>
  <si>
    <t xml:space="preserve">Open a campaign.</t>
  </si>
  <si>
    <t xml:space="preserve">③ Assets: URL, QR, Open Preview, Download QR (PNG + high-res), 'don't distribute until approved'</t>
  </si>
  <si>
    <t xml:space="preserve">URL, QR and download.</t>
  </si>
  <si>
    <t xml:space="preserve">Campaign page → Assets</t>
  </si>
  <si>
    <t xml:space="preserve">Download the QR.</t>
  </si>
  <si>
    <t xml:space="preserve">#15</t>
  </si>
  <si>
    <t xml:space="preserve">Effect on Existing Reservations</t>
  </si>
  <si>
    <t xml:space="preserve">Campaign goes live; limit reached → Temporarily Unavailable; expired claims never restore capacity</t>
  </si>
  <si>
    <t xml:space="preserve">Fill capacity; claim shows unavailable.</t>
  </si>
  <si>
    <t xml:space="preserve">Reserved reward funding (reserve max, pay actual, return difference)</t>
  </si>
  <si>
    <t xml:space="preserve">Wallet → Reserved Funds</t>
  </si>
  <si>
    <t xml:space="preserve">Claim and redeem; check the ledger.</t>
  </si>
  <si>
    <t xml:space="preserve">#9</t>
  </si>
  <si>
    <t xml:space="preserve">Only Nibbl admin may cancel an existing reservation, with a reason</t>
  </si>
  <si>
    <t xml:space="preserve">Admin → Shoppers → Claims &amp; Reviews → Cancel claim: reason required; the claim closes, the brand's reserved funds return, and the cancel is audit-logged. Brands can't cancel claims.</t>
  </si>
  <si>
    <t xml:space="preserve">Admin Dashboard + Backend / API</t>
  </si>
  <si>
    <t xml:space="preserve">Admin → Shoppers → shopper → Claims &amp; Reviews</t>
  </si>
  <si>
    <t xml:space="preserve">Cancel an open claim with a reason; the brand's Reserved Funds drop by that claim.</t>
  </si>
  <si>
    <t xml:space="preserve">Discovery</t>
  </si>
  <si>
    <t xml:space="preserve">Location before discovery (allow location or ZIP; never unfiltered; don't re-ask)</t>
  </si>
  <si>
    <t xml:space="preserve">Location gate, saved.</t>
  </si>
  <si>
    <t xml:space="preserve">Shopper Website + Backend / API</t>
  </si>
  <si>
    <t xml:space="preserve">API ready — app developer to build/confirm</t>
  </si>
  <si>
    <t xml:space="preserve">Website → home</t>
  </si>
  <si>
    <t xml:space="preserve">Open signed out.</t>
  </si>
  <si>
    <t xml:space="preserve">Geographic eligibility gate</t>
  </si>
  <si>
    <t xml:space="preserve">Only eligible campaigns shown.</t>
  </si>
  <si>
    <t xml:space="preserve">Website → For You</t>
  </si>
  <si>
    <t xml:space="preserve">Change ZIP.</t>
  </si>
  <si>
    <t xml:space="preserve">Ranking: Base CVR × Store Match × Brand Interest (admin values)</t>
  </si>
  <si>
    <t xml:space="preserve">Backend / API + Admin Dashboard</t>
  </si>
  <si>
    <t xml:space="preserve">Admin → Settings</t>
  </si>
  <si>
    <t xml:space="preserve">Change a multiplier.</t>
  </si>
  <si>
    <t xml:space="preserve">#14</t>
  </si>
  <si>
    <t xml:space="preserve">Campaign cards on For You (not product cards), category tabs, up to 24 per category</t>
  </si>
  <si>
    <t xml:space="preserve">Campaign cards with category tabs.</t>
  </si>
  <si>
    <t xml:space="preserve">Browse a category.</t>
  </si>
  <si>
    <t xml:space="preserve">24-per-category cap and 'N eligible products' line to confirm.</t>
  </si>
  <si>
    <t xml:space="preserve">Retailer match = ranking boost; Any Retailer / Retailer Required verification (eligible / unclear → manual / ineligible)</t>
  </si>
  <si>
    <t xml:space="preserve">Upload receipts from different stores.</t>
  </si>
  <si>
    <t xml:space="preserve">#10, #19</t>
  </si>
  <si>
    <t xml:space="preserve">Direct entry: QR / Meta ad / URL bypasses geography only</t>
  </si>
  <si>
    <t xml:space="preserve">Campaign URL</t>
  </si>
  <si>
    <t xml:space="preserve">Open in a private window.</t>
  </si>
  <si>
    <t xml:space="preserve">Campaign-level suppression (never brand-wide)</t>
  </si>
  <si>
    <t xml:space="preserve">Claim one campaign of a brand.</t>
  </si>
  <si>
    <t xml:space="preserve">#16</t>
  </si>
  <si>
    <t xml:space="preserve">Shopper Rebate Flow</t>
  </si>
  <si>
    <t xml:space="preserve">Campaign details: products + ratings, Where to Buy, receipt eligibility, max rebate, offer eligibility, Going fast, share, save, Claim</t>
  </si>
  <si>
    <t xml:space="preserve">Offer page with all items.</t>
  </si>
  <si>
    <t xml:space="preserve">Shopper Website</t>
  </si>
  <si>
    <t xml:space="preserve">Website → offer</t>
  </si>
  <si>
    <t xml:space="preserve">Open an offer; share and save.</t>
  </si>
  <si>
    <t xml:space="preserve">#5, #10</t>
  </si>
  <si>
    <t xml:space="preserve">Reserve Offer: prefill email/phone (collect if logged out), two required consents</t>
  </si>
  <si>
    <t xml:space="preserve">Both consents required.</t>
  </si>
  <si>
    <t xml:space="preserve">Website → offer → Claim</t>
  </si>
  <si>
    <t xml:space="preserve">Claim without consents → pop-up.</t>
  </si>
  <si>
    <t xml:space="preserve">Logged-out shoppers must sign in first (Master allows collecting email/phone on this step).</t>
  </si>
  <si>
    <t xml:space="preserve">#17</t>
  </si>
  <si>
    <t xml:space="preserve">Confirm Reservation screen: slot X of 5, exact deadline, Confirm &amp; Reserve (slot consumed only here)</t>
  </si>
  <si>
    <t xml:space="preserve">Slot use shown on Reserve Offer; separate Confirm screen with product, retailer, reward, exact deadline and resulting slot use.</t>
  </si>
  <si>
    <t xml:space="preserve">Website → offer → Continue → Confirm &amp; Reserve</t>
  </si>
  <si>
    <t xml:space="preserve">Claim an offer; check the deadline is 7 days out.</t>
  </si>
  <si>
    <t xml:space="preserve">#18</t>
  </si>
  <si>
    <t xml:space="preserve">Reservation eligibility checked before a claim slot is consumed</t>
  </si>
  <si>
    <t xml:space="preserve">All checks (consent, slots, already claimed, cooldown, dates, capacity, funds) run before the slot is used.</t>
  </si>
  <si>
    <t xml:space="preserve">Covered by automated tests.</t>
  </si>
  <si>
    <t xml:space="preserve">#17, #18</t>
  </si>
  <si>
    <t xml:space="preserve">Active claim slots (5) — occupied until approval, final rejection or expiry</t>
  </si>
  <si>
    <t xml:space="preserve">Website → My Rewards</t>
  </si>
  <si>
    <t xml:space="preserve">Claim to the limit.</t>
  </si>
  <si>
    <t xml:space="preserve">Return Action Prompt: carousel, Submit Receipt + time left, Save for Later, My Offers badge</t>
  </si>
  <si>
    <t xml:space="preserve">Website → home; header badge</t>
  </si>
  <si>
    <t xml:space="preserve">Claim, then return home.</t>
  </si>
  <si>
    <t xml:space="preserve">Rebate restriction pop-ups (10)</t>
  </si>
  <si>
    <t xml:space="preserve">All with own code; consent, slots, claimed, cooldown, one-time, not started, paused, capacity, funds; retailer shown on offer.</t>
  </si>
  <si>
    <t xml:space="preserve">Trigger each case.</t>
  </si>
  <si>
    <t xml:space="preserve">Align titles/buttons exactly with the Master pop-up mockup (e.g. 'Review &amp; Accept', 'N days remaining', 'View Eligible Retailers').</t>
  </si>
  <si>
    <t xml:space="preserve">Receipt Submission</t>
  </si>
  <si>
    <t xml:space="preserve">Submit inside the active campaign: requirements list, take/choose photo, review before submit, submitted state</t>
  </si>
  <si>
    <t xml:space="preserve">Per-claim flow: Receipt Requirements (from the claim's locked terms), Take / Choose Photo, Review Your Receipt, Receipt submitted.</t>
  </si>
  <si>
    <t xml:space="preserve">Website → My Rewards → Upload receipt</t>
  </si>
  <si>
    <t xml:space="preserve">Upload a receipt for a claim.</t>
  </si>
  <si>
    <t xml:space="preserve">#19</t>
  </si>
  <si>
    <t xml:space="preserve">Receipt Validation &amp; Routing</t>
  </si>
  <si>
    <t xml:space="preserve">Capture date/time, retailer, transaction no., item, qty, net price, tax, total; clear date/retailer fail → reject; uncertain → manual; unreadable → new photo</t>
  </si>
  <si>
    <t xml:space="preserve">Upload clear / unclear / wrong-date receipts.</t>
  </si>
  <si>
    <t xml:space="preserve">OCR = AI service.</t>
  </si>
  <si>
    <t xml:space="preserve">#19, #21</t>
  </si>
  <si>
    <t xml:space="preserve">Duplicate receipt + quantity allocation</t>
  </si>
  <si>
    <t xml:space="preserve">Upload the same receipt twice.</t>
  </si>
  <si>
    <t xml:space="preserve">Receipt Outcomes</t>
  </si>
  <si>
    <t xml:space="preserve">One resubmission before the original deadline (deadline never restarts)</t>
  </si>
  <si>
    <t xml:space="preserve">First clear date/retailer rejection keeps the claim open with one resubmission; the second is final (claim closed, slot released). Purchase must be on or after the claim.</t>
  </si>
  <si>
    <t xml:space="preserve">Upload a receipt dated before the claim, then another.</t>
  </si>
  <si>
    <t xml:space="preserve">Outcome messages: accepted, manual review, unreadable, date, retailer, final rejection</t>
  </si>
  <si>
    <t xml:space="preserve">Master outcome screens: Purchase verified, Manual review, We couldn't read it, Date / Retailer does not qualify (with one resubmission), Final rejection.</t>
  </si>
  <si>
    <t xml:space="preserve">Website → after submitting a receipt</t>
  </si>
  <si>
    <t xml:space="preserve">Trigger each outcome.</t>
  </si>
  <si>
    <t xml:space="preserve">In-app + email decision notifications are tracked in Notifications &amp; Reminders.</t>
  </si>
  <si>
    <t xml:space="preserve">Notifications &amp; Reminders</t>
  </si>
  <si>
    <t xml:space="preserve">Receipt reminders 48h and 12h before the exact deadline</t>
  </si>
  <si>
    <t xml:space="preserve">Shopper notifications</t>
  </si>
  <si>
    <t xml:space="preserve">Scheduled job sends both reminders.</t>
  </si>
  <si>
    <t xml:space="preserve">#20</t>
  </si>
  <si>
    <t xml:space="preserve">Reservation confirmation, receipt submitted, approval/rejection (in-app + email), claim expiration</t>
  </si>
  <si>
    <t xml:space="preserve">All five sent immediately in-app; approval and rejection also emailed (SES).</t>
  </si>
  <si>
    <t xml:space="preserve">Website → notifications; email</t>
  </si>
  <si>
    <t xml:space="preserve">Claim, upload, get approved/rejected, let a claim expire.</t>
  </si>
  <si>
    <t xml:space="preserve">Push notification delivery (FCM / APNs)</t>
  </si>
  <si>
    <t xml:space="preserve">Push is a placeholder today.</t>
  </si>
  <si>
    <t xml:space="preserve">In Review</t>
  </si>
  <si>
    <t xml:space="preserve">Waiting on client Firebase Workload Identity setup (EC2 role sent).</t>
  </si>
  <si>
    <t xml:space="preserve">Brand Manual Review</t>
  </si>
  <si>
    <t xml:space="preserve">① Claim &amp; customer (email visible on every plan) · ② Full receipt viewer (zoom/rotate/download) · ③ Locked requirements</t>
  </si>
  <si>
    <t xml:space="preserve">Redemptions → Review</t>
  </si>
  <si>
    <t xml:space="preserve">Open a pending receipt.</t>
  </si>
  <si>
    <t xml:space="preserve">#21</t>
  </si>
  <si>
    <t xml:space="preserve">④ Select line · ⑤ Confirm mapping + corrections (audit) · ⑥ Optional alias · ⑦ Calculated reward, rejection reasons, internal note</t>
  </si>
  <si>
    <t xml:space="preserve">Approve with alias; reject with reason.</t>
  </si>
  <si>
    <t xml:space="preserve">Brand Redemptions Page</t>
  </si>
  <si>
    <t xml:space="preserve">① Summary (pending, approved, rejected, total paid) · ② Status tabs · ⑤ Priority queue</t>
  </si>
  <si>
    <t xml:space="preserve">Redemptions</t>
  </si>
  <si>
    <t xml:space="preserve">#21, #22</t>
  </si>
  <si>
    <t xml:space="preserve">③ Search &amp; filters (campaign, product, status, submitted date)</t>
  </si>
  <si>
    <t xml:space="preserve">Search, campaign, product (via campaign products), status tabs, date range.</t>
  </si>
  <si>
    <t xml:space="preserve">Filter by campaign and product.</t>
  </si>
  <si>
    <t xml:space="preserve">⑥ Pagination &amp; Export CSV</t>
  </si>
  <si>
    <t xml:space="preserve">Redemptions → Export CSV</t>
  </si>
  <si>
    <t xml:space="preserve">Export.</t>
  </si>
  <si>
    <t xml:space="preserve">Seven-day automatic approval (max reward, labelled, no alias, slot released)</t>
  </si>
  <si>
    <t xml:space="preserve">Check countdown.</t>
  </si>
  <si>
    <t xml:space="preserve">#22</t>
  </si>
  <si>
    <t xml:space="preserve">Review Management</t>
  </si>
  <si>
    <t xml:space="preserve">KPIs: total, pending 1–3★ response, average rating, review spend, cost per review</t>
  </si>
  <si>
    <t xml:space="preserve">All five KPIs; spend from the wallet ledger.</t>
  </si>
  <si>
    <t xml:space="preserve">Reviews → Review Management</t>
  </si>
  <si>
    <t xml:space="preserve">Compare spend with the Wallet ledger.</t>
  </si>
  <si>
    <t xml:space="preserve">#26</t>
  </si>
  <si>
    <t xml:space="preserve">Tabs (All, Published, 7-Day Hold, Flagged, Removed) + date range</t>
  </si>
  <si>
    <t xml:space="preserve">Tabs with counts + date range + keyword search.</t>
  </si>
  <si>
    <t xml:space="preserve">Filters: rating, retailer, product, region</t>
  </si>
  <si>
    <t xml:space="preserve">All four (retailer from the receipt, region from the shopper's state).</t>
  </si>
  <si>
    <t xml:space="preserve">Filter by retailer and region.</t>
  </si>
  <si>
    <t xml:space="preserve">Review details: answers, final text, receipt evidence + gating summary, customer contact for service recovery</t>
  </si>
  <si>
    <t xml:space="preserve">Side panel with answers, receipt, gating summary, masked email + copy.</t>
  </si>
  <si>
    <t xml:space="preserve">Review Management → review</t>
  </si>
  <si>
    <t xml:space="preserve">Open a review.</t>
  </si>
  <si>
    <t xml:space="preserve">#26, #33</t>
  </si>
  <si>
    <t xml:space="preserve">Low-rating response: countdown, Contact Customer, Add Brand Response, Flag for Removal</t>
  </si>
  <si>
    <t xml:space="preserve">Live countdown, Contact Customer (email), response, flag.</t>
  </si>
  <si>
    <t xml:space="preserve">Open a 2★ held review.</t>
  </si>
  <si>
    <t xml:space="preserve">Flag reasons per Master (wrong product, unrelated, spam/fraud, PII, profanity, prohibited claim, other) + audit</t>
  </si>
  <si>
    <t xml:space="preserve">Master's 7 reasons, 500-char details, audit log.</t>
  </si>
  <si>
    <t xml:space="preserve">Review Management → Flag</t>
  </si>
  <si>
    <t xml:space="preserve">Flag a review.</t>
  </si>
  <si>
    <t xml:space="preserve">Export: Download CSV + Download Reviews; API integration Coming Soon</t>
  </si>
  <si>
    <t xml:space="preserve">CSV + readable reviews file, both with disclosure; API Coming Soon.</t>
  </si>
  <si>
    <t xml:space="preserve">Review Management → Export</t>
  </si>
  <si>
    <t xml:space="preserve">Download both.</t>
  </si>
  <si>
    <t xml:space="preserve">Create Review Campaign</t>
  </si>
  <si>
    <t xml:space="preserve">Basics (required image), eligible products, controls, locked rules &amp; cost</t>
  </si>
  <si>
    <t xml:space="preserve">Reviews → Create</t>
  </si>
  <si>
    <t xml:space="preserve">Create a review campaign.</t>
  </si>
  <si>
    <t xml:space="preserve">#23</t>
  </si>
  <si>
    <t xml:space="preserve">Brand question pool: add, suggest, Test Review Chat</t>
  </si>
  <si>
    <t xml:space="preserve">Add + suggest.</t>
  </si>
  <si>
    <t xml:space="preserve">Review campaign page</t>
  </si>
  <si>
    <t xml:space="preserve">Add and suggest questions.</t>
  </si>
  <si>
    <t xml:space="preserve">'Test Review Chat' not built.</t>
  </si>
  <si>
    <t xml:space="preserve">Save Draft / Submit for Nibbl Review (published after review)</t>
  </si>
  <si>
    <t xml:space="preserve">Brands activate review campaigns directly.</t>
  </si>
  <si>
    <t xml:space="preserve">Nibbl approval for review campaigns not built.</t>
  </si>
  <si>
    <t xml:space="preserve">Live shopper preview (mobile)</t>
  </si>
  <si>
    <t xml:space="preserve">Not built.</t>
  </si>
  <si>
    <t xml:space="preserve">Shopper Review Opportunity</t>
  </si>
  <si>
    <t xml:space="preserve">My Offers: Review Rewards card (Claim $1, Save for Later)</t>
  </si>
  <si>
    <t xml:space="preserve">Review cards in the carousel and My Rewards.</t>
  </si>
  <si>
    <t xml:space="preserve">Get a receipt verified.</t>
  </si>
  <si>
    <t xml:space="preserve">Product Confirmed · Multiple Matches · Missing Consent · Share Your Voice</t>
  </si>
  <si>
    <t xml:space="preserve">These screens aren't built on the website (chat opens directly).</t>
  </si>
  <si>
    <t xml:space="preserve">Developer rules: scan all lines, 0/1/many opportunities, cooldown per shopper+product, $1 reserve, no second verification</t>
  </si>
  <si>
    <t xml:space="preserve">#25</t>
  </si>
  <si>
    <t xml:space="preserve">AI Chat Review</t>
  </si>
  <si>
    <t xml:space="preserve">Product context loaded; rotating brand question; generated title &amp; review; edit; regenerate; final approval; $1 at any rating</t>
  </si>
  <si>
    <t xml:space="preserve">Website → review chat</t>
  </si>
  <si>
    <t xml:space="preserve">Complete a review.</t>
  </si>
  <si>
    <t xml:space="preserve">#24</t>
  </si>
  <si>
    <t xml:space="preserve">Five adaptive product questions with suggested answer chips</t>
  </si>
  <si>
    <t xml:space="preserve">Fixed AI questions today.</t>
  </si>
  <si>
    <t xml:space="preserve">Adaptive questions wait on the AI service endpoint; suggested-answer chips not built.</t>
  </si>
  <si>
    <t xml:space="preserve">Separate 'recommend' and 'purchase again' questions; title 100 / body 500 limits</t>
  </si>
  <si>
    <t xml:space="preserve">One combined recommend question.</t>
  </si>
  <si>
    <t xml:space="preserve">Split recommend vs repurchase; enforce 100/500 character limits.</t>
  </si>
  <si>
    <t xml:space="preserve">Ratings &amp; Reviews Display</t>
  </si>
  <si>
    <t xml:space="preserve">Ratings per product in campaign details; all reviews with sorting; review details + brand response; helpful</t>
  </si>
  <si>
    <t xml:space="preserve">Website → offer → reviews</t>
  </si>
  <si>
    <t xml:space="preserve">Sort and mark helpful.</t>
  </si>
  <si>
    <t xml:space="preserve">#27</t>
  </si>
  <si>
    <t xml:space="preserve">Reviews overview: rating, breakdown, % recommend, % would buy again, AI summary (positives + improvement)</t>
  </si>
  <si>
    <t xml:space="preserve">Rating, breakdown, % recommend.</t>
  </si>
  <si>
    <t xml:space="preserve">Open an offer with reviews.</t>
  </si>
  <si>
    <t xml:space="preserve">'% would buy again' not built; AI summary waits on the AI service.</t>
  </si>
  <si>
    <t xml:space="preserve">Brand Analytics</t>
  </si>
  <si>
    <t xml:space="preserve">Cost &amp; Results · Customer &amp; Conversion · Campaign Performance (25-hour cycles)</t>
  </si>
  <si>
    <t xml:space="preserve">Analytics</t>
  </si>
  <si>
    <t xml:space="preserve">Compare cost with the ledger.</t>
  </si>
  <si>
    <t xml:space="preserve">#28</t>
  </si>
  <si>
    <t xml:space="preserve">Customers</t>
  </si>
  <si>
    <t xml:space="preserve">Summary, search &amp; filters, download opted-in, integrations Coming Soon, consent withdrawal rule</t>
  </si>
  <si>
    <t xml:space="preserve">Filter and download.</t>
  </si>
  <si>
    <t xml:space="preserve">#29</t>
  </si>
  <si>
    <t xml:space="preserve">Table: brand activity, site activity, open claims, cooldowns, last active, status</t>
  </si>
  <si>
    <t xml:space="preserve">Columns per Master: Customer, Contact, Brand Activity (claims / rebates / reviews), Site Activity (total claims / % completion / reviews), Open Claims, Cooldowns (days left), Last Active, Status (Active / Banned), View. Tabs: All, Open Claim, Active Cooldown, Completed Rebate, Banned, Inactive.</t>
  </si>
  <si>
    <t xml:space="preserve">Open Customers; check each column and tab against a shopper with an open claim and a cooldown.</t>
  </si>
  <si>
    <t xml:space="preserve">Customer Profile</t>
  </si>
  <si>
    <t xml:space="preserve">Header (opt-in badges, status) + Ban Customer with reason</t>
  </si>
  <si>
    <t xml:space="preserve">Header: name, contact, customer since, last active, Nibbl Opt-In + brand Opt-In badges, Active/Banned. Ban modal with reason (suspicious activity, altered receipts, abuse, other); banned shoppers can't claim or get review opportunities from the brand; existing claims stay valid. Lift Ban.</t>
  </si>
  <si>
    <t xml:space="preserve">Customers → View → Ban Customer</t>
  </si>
  <si>
    <t xml:space="preserve">Ban with a reason; status shows Banned with the reason; Lift Ban restores it.</t>
  </si>
  <si>
    <t xml:space="preserve">#46</t>
  </si>
  <si>
    <t xml:space="preserve">Relationship with brand · Nibbl activity totals · Recent activity</t>
  </si>
  <si>
    <t xml:space="preserve">Relationship tiles (claims, completed rebates, conversion, rewards, reviews, open claims); Nibbl totals only (claims, completion, reviews, rewards) — other brands' data never shown; recent activity timeline for this brand.</t>
  </si>
  <si>
    <t xml:space="preserve">Customers → View</t>
  </si>
  <si>
    <t xml:space="preserve">Open a profile; totals match the shopper's history.</t>
  </si>
  <si>
    <t xml:space="preserve">Open claims · Cooldowns with Remove (confirmation + audit)</t>
  </si>
  <si>
    <t xml:space="preserve">Open claims with days left. Rebate and review cooldowns with Remove → confirmation → cooldown cleared and an audit-log entry (who, when, which). Managers only.</t>
  </si>
  <si>
    <t xml:space="preserve">Customers → View → Cooldowns → Remove</t>
  </si>
  <si>
    <t xml:space="preserve">Remove a cooldown; the shopper can claim/review again; the audit log shows the removal.</t>
  </si>
  <si>
    <t xml:space="preserve">Redemption history: full receipt 30 days, then matching line only</t>
  </si>
  <si>
    <t xml:space="preserve">Redemption history with View receipt + days left for 30 days; afterwards only the matching line item(s) are shown.</t>
  </si>
  <si>
    <t xml:space="preserve">Customers → View → Redemption History</t>
  </si>
  <si>
    <t xml:space="preserve">Recent receipt shows View receipt; one older than 30 days shows Matching line only.</t>
  </si>
  <si>
    <t xml:space="preserve">Brand Wallet</t>
  </si>
  <si>
    <t xml:space="preserve">Balances: Available, Reserved, Promotional (definitions)</t>
  </si>
  <si>
    <t xml:space="preserve">Wallet</t>
  </si>
  <si>
    <t xml:space="preserve">Check balances.</t>
  </si>
  <si>
    <t xml:space="preserve">#30</t>
  </si>
  <si>
    <t xml:space="preserve">Campaign Funding: 7-day need vs Available, funded status, reservations split</t>
  </si>
  <si>
    <t xml:space="preserve">Wallet → Campaign Funding</t>
  </si>
  <si>
    <t xml:space="preserve">Activate a campaign.</t>
  </si>
  <si>
    <t xml:space="preserve">Automatic refill (Stripe): trigger 25%, fixed amount, recommendation, failure alert</t>
  </si>
  <si>
    <t xml:space="preserve">Wallet → Auto-refill</t>
  </si>
  <si>
    <t xml:space="preserve">Enable auto-refill.</t>
  </si>
  <si>
    <t xml:space="preserve">Production still on Stripe test keys — switch to the live keys received from the client, then retest.</t>
  </si>
  <si>
    <t xml:space="preserve">#31</t>
  </si>
  <si>
    <t xml:space="preserve">Spending Overview + Weekly Statements + detailed ledger</t>
  </si>
  <si>
    <t xml:space="preserve">Download a statement.</t>
  </si>
  <si>
    <t xml:space="preserve">#32</t>
  </si>
  <si>
    <t xml:space="preserve">Request Refund (Available Cash refundable; reserved/promo not)</t>
  </si>
  <si>
    <t xml:space="preserve">Brand Owner requests up to Available Cash; Nibbl reviews in Admin → Refunds, refunds in Stripe, marks refunded (ledger refund entry) or rejects with a note.</t>
  </si>
  <si>
    <t xml:space="preserve">Brand Dashboard + Admin Dashboard + Backend / API</t>
  </si>
  <si>
    <t xml:space="preserve">Wallet → Request Refund; Admin → Refunds</t>
  </si>
  <si>
    <t xml:space="preserve">Request, then mark refunded in Admin.</t>
  </si>
  <si>
    <t xml:space="preserve">Money is returned manually in Stripe, then recorded here.</t>
  </si>
  <si>
    <t xml:space="preserve">Plans</t>
  </si>
  <si>
    <t xml:space="preserve">Current plan, recommendation, plan options, scheduled changes, downgrade campaign choice</t>
  </si>
  <si>
    <t xml:space="preserve">Schedule and cancel a change.</t>
  </si>
  <si>
    <t xml:space="preserve">#33, #35</t>
  </si>
  <si>
    <t xml:space="preserve">Feature comparison table</t>
  </si>
  <si>
    <t xml:space="preserve">Side-by-side table (capacity, fees, review cost, identity, CSV, integrations, account manager, early access).</t>
  </si>
  <si>
    <t xml:space="preserve">Plans → Feature Comparison</t>
  </si>
  <si>
    <t xml:space="preserve">Open Plans.</t>
  </si>
  <si>
    <t xml:space="preserve">Plan entitlement enforcement (campaign limits, customer identity, CSV, review cost)</t>
  </si>
  <si>
    <t xml:space="preserve">Limits, fees, CSV and identity enforced; Starter reviews show first name + last initial and email only on 1–3★.</t>
  </si>
  <si>
    <t xml:space="preserve">Covered by tests.</t>
  </si>
  <si>
    <t xml:space="preserve">#33, #34</t>
  </si>
  <si>
    <t xml:space="preserve">Settings</t>
  </si>
  <si>
    <t xml:space="preserve">Brand Profile (name, website, support email, time zone)</t>
  </si>
  <si>
    <t xml:space="preserve">Settings → Brand Profile</t>
  </si>
  <si>
    <t xml:space="preserve">Change time zone.</t>
  </si>
  <si>
    <t xml:space="preserve">#36</t>
  </si>
  <si>
    <t xml:space="preserve">Team &amp; Permissions (Owner / Admin / Viewer)</t>
  </si>
  <si>
    <t xml:space="preserve">Settings → Team</t>
  </si>
  <si>
    <t xml:space="preserve">Invite a Viewer.</t>
  </si>
  <si>
    <t xml:space="preserve">Notifications per member (Email + SMS): wallet below 25%, auto-refill failed, campaign paused, exhausted early, new negative review, weekly summary</t>
  </si>
  <si>
    <t xml:space="preserve">Master's six notifications (+ campaign approvals, receipts to review) all sent in-app + email per member preference.</t>
  </si>
  <si>
    <t xml:space="preserve">Settings → Notifications</t>
  </si>
  <si>
    <t xml:space="preserve">Toggle and trigger each.</t>
  </si>
  <si>
    <t xml:space="preserve">SMS toggles are stored; SMS sending waits on Klaviyo.</t>
  </si>
  <si>
    <t xml:space="preserve">Tracking &amp; Attribution (Meta Pixel; Google/TikTok Coming Soon)</t>
  </si>
  <si>
    <t xml:space="preserve">Settings → Tracking</t>
  </si>
  <si>
    <t xml:space="preserve">Save a Pixel ID.</t>
  </si>
  <si>
    <t xml:space="preserve">Security: passwordless sign-in, active sessions, last sign-in, sign out others</t>
  </si>
  <si>
    <t xml:space="preserve">Passwordless (magic-link) sign-in active, sessions, last sign-in, sign out others.</t>
  </si>
  <si>
    <t xml:space="preserve">Settings → Security</t>
  </si>
  <si>
    <t xml:space="preserve">Sign out another device.</t>
  </si>
  <si>
    <t xml:space="preserve">Account &amp; Support (Contact Nibbl Support, Owner-only closure, Klaviyo Coming Soon — Scale)</t>
  </si>
  <si>
    <t xml:space="preserve">Log in as Owner.</t>
  </si>
  <si>
    <t xml:space="preserve">Tag Generator</t>
  </si>
  <si>
    <t xml:space="preserve">Static Coming Soon page (example artwork)</t>
  </si>
  <si>
    <t xml:space="preserve">Open the page.</t>
  </si>
  <si>
    <t xml:space="preserve">#37</t>
  </si>
  <si>
    <t xml:space="preserve">Brand Onboarding</t>
  </si>
  <si>
    <t xml:space="preserve">Role gate (I'm a Brand / I'm a Shopper)</t>
  </si>
  <si>
    <t xml:space="preserve">What brings you to Nibbl? — Explore Nibbl for Brands / View Deals; choice remembered on the device.</t>
  </si>
  <si>
    <t xml:space="preserve">brand.joinnibbl.com</t>
  </si>
  <si>
    <t xml:space="preserve">#38</t>
  </si>
  <si>
    <t xml:space="preserve">Public brand homepage + How it works / Reviews / Controls / Plans</t>
  </si>
  <si>
    <t xml:space="preserve">Master homepage: hero, Why Nibbl, How it works, Reviews, Controls, Plans ($39/$199/$999), promo note.</t>
  </si>
  <si>
    <t xml:space="preserve">brand.joinnibbl.com/brand-landing</t>
  </si>
  <si>
    <t xml:space="preserve">Browse the page.</t>
  </si>
  <si>
    <t xml:space="preserve">FAQ entries are labels until FAQ pages exist.</t>
  </si>
  <si>
    <t xml:space="preserve">Plan → Create Account (contact, work email, phone, company, website, category, terms)</t>
  </si>
  <si>
    <t xml:space="preserve">Plan picker + registration.</t>
  </si>
  <si>
    <t xml:space="preserve">Brand site → Register</t>
  </si>
  <si>
    <t xml:space="preserve">Register.</t>
  </si>
  <si>
    <t xml:space="preserve">Passwordless magic-link sign-in (link expires in 15 minutes)</t>
  </si>
  <si>
    <t xml:space="preserve">Signup without a password (Send Magic Link); 15-minute one-time link signs you straight in; Sign In emails a sign-in link (password still available).</t>
  </si>
  <si>
    <t xml:space="preserve">brand.joinnibbl.com → Register / Sign In</t>
  </si>
  <si>
    <t xml:space="preserve">Register, open the email link; sign in by link.</t>
  </si>
  <si>
    <t xml:space="preserve">Secure checkout: card required even when credits cover today; card saved for renewals; promo code</t>
  </si>
  <si>
    <t xml:space="preserve">Card always required ($0 due saves it with a SetupIntent); card saved to the brand for renewals and auto-replenishment; promo code.</t>
  </si>
  <si>
    <t xml:space="preserve">After sign-up → Checkout</t>
  </si>
  <si>
    <t xml:space="preserve">Check out with a promo covering the plan.</t>
  </si>
  <si>
    <t xml:space="preserve">Retest after the Stripe live switch.</t>
  </si>
  <si>
    <t xml:space="preserve">Account Activated page + First Dashboard (3 growth goals, 5 steps)</t>
  </si>
  <si>
    <t xml:space="preserve">Welcome to Nibbl page (plan, slots, credits, card, growth toolkit, getting started) + 3 growth goals and the 5 launch steps.</t>
  </si>
  <si>
    <t xml:space="preserve">Dashboard after checkout</t>
  </si>
  <si>
    <t xml:space="preserve">Finish checkout.</t>
  </si>
  <si>
    <t xml:space="preserve">Wallet funding required before launch (7-day need + auto-replenishment)</t>
  </si>
  <si>
    <t xml:space="preserve">Submit is blocked until the Wallet covers the 7-day requirement and auto-replenishment is on; 'Fund your campaign before launch' pop-up.</t>
  </si>
  <si>
    <t xml:space="preserve">Rebate campaign → Submit for review</t>
  </si>
  <si>
    <t xml:space="preserve">Submit with an empty wallet.</t>
  </si>
  <si>
    <t xml:space="preserve">Shopper Wallet</t>
  </si>
  <si>
    <t xml:space="preserve">Wallet overview: available, pending approval, payout method</t>
  </si>
  <si>
    <t xml:space="preserve">Website → Wallet</t>
  </si>
  <si>
    <t xml:space="preserve">#39</t>
  </si>
  <si>
    <t xml:space="preserve">Wallet activity with filters (rebates, reviews, referrals, withdrawals) + statuses</t>
  </si>
  <si>
    <t xml:space="preserve">New /wallet/activity/: All / Rebates / Reviews / Referrals / Withdrawals tabs, grouped Pending / In progress / Available / Completed.</t>
  </si>
  <si>
    <t xml:space="preserve">Website → Wallet → Wallet Activity</t>
  </si>
  <si>
    <t xml:space="preserve">Reward details (timeline: submitted → under review → available)</t>
  </si>
  <si>
    <t xml:space="preserve">Reward Details pop-up with timeline, reward type, campaign, receipt date, reference.</t>
  </si>
  <si>
    <t xml:space="preserve">Website → Wallet → tap an item</t>
  </si>
  <si>
    <t xml:space="preserve">Open a pending rebate.</t>
  </si>
  <si>
    <t xml:space="preserve">Payout methods: one PayPal/Venmo identity per account; locked; change via request</t>
  </si>
  <si>
    <t xml:space="preserve">Add a payout method.</t>
  </si>
  <si>
    <t xml:space="preserve">#41</t>
  </si>
  <si>
    <t xml:space="preserve">Secure Withdrawal Flow</t>
  </si>
  <si>
    <t xml:space="preserve">Amount → locked method → SMS code → confirm (checkbox) → requested status tracker</t>
  </si>
  <si>
    <t xml:space="preserve">All five steps incl. any amount, locked method + Request a change, SMS, confirm checkbox, Requested / Processing / Paid tracker.</t>
  </si>
  <si>
    <t xml:space="preserve">Website → Wallet → Withdraw</t>
  </si>
  <si>
    <t xml:space="preserve">Withdraw a small amount.</t>
  </si>
  <si>
    <t xml:space="preserve">SMS verification works on production (12 Oct). Do one real website withdrawal with the SMS step, then Completed.</t>
  </si>
  <si>
    <t xml:space="preserve">'Additional review needed' popup; status stays Processing</t>
  </si>
  <si>
    <t xml:space="preserve">Pop-up with Got it; request shows Processing.</t>
  </si>
  <si>
    <t xml:space="preserve">Website → Wallet → Withdraw over the review threshold</t>
  </si>
  <si>
    <t xml:space="preserve">Withdraw above $25.</t>
  </si>
  <si>
    <t xml:space="preserve">Withdrawal failed / rejected balance handling</t>
  </si>
  <si>
    <t xml:space="preserve">Rejected: full amount back to the balance with the reason. Failed (from PayPal results): retryable stays reserved (Retry), permanent returns the amount (Return to balance).</t>
  </si>
  <si>
    <t xml:space="preserve">Shopper Website + Admin Dashboard + Backend / API</t>
  </si>
  <si>
    <t xml:space="preserve">Website → Wallet Activity; Admin → Withdrawals → Failed</t>
  </si>
  <si>
    <t xml:space="preserve">Import a FAILED result, then Return to balance.</t>
  </si>
  <si>
    <t xml:space="preserve">#43</t>
  </si>
  <si>
    <t xml:space="preserve">Refer a Friend</t>
  </si>
  <si>
    <t xml:space="preserve">Referral home, share link, share a product deal</t>
  </si>
  <si>
    <t xml:space="preserve">Code + copy, share sheet with joinnibbl.com/r/CODE, Share a product list (deal links carry the code), How it works.</t>
  </si>
  <si>
    <t xml:space="preserve">Website → My Rewards → Refer a Friend</t>
  </si>
  <si>
    <t xml:space="preserve">Share the link; open it signed out.</t>
  </si>
  <si>
    <t xml:space="preserve">#40</t>
  </si>
  <si>
    <t xml:space="preserve">Qualification: join, claim, approved redemption, payout method, withdrawal — within 90 days</t>
  </si>
  <si>
    <t xml:space="preserve">5-step qualification; only steps inside the 90-day window count; unfinished referrals expire (checked every 15 minutes).</t>
  </si>
  <si>
    <t xml:space="preserve">Backend; Admin → Referrals → Expired</t>
  </si>
  <si>
    <t xml:space="preserve">Referral progress (earned, pending, invited; step X of 4; expires in N days; not eligible) + rules sheet</t>
  </si>
  <si>
    <t xml:space="preserve">Earned / Pending / Invited totals, per-friend Step X of 4 + next step, Expires in N days, Earned / Not eligible, Referral Rules sheet.</t>
  </si>
  <si>
    <t xml:space="preserve">Website → My Rewards → My referrals</t>
  </si>
  <si>
    <t xml:space="preserve">Check a friend's progress.</t>
  </si>
  <si>
    <t xml:space="preserve">Shopper Restriction Messages</t>
  </si>
  <si>
    <t xml:space="preserve">Duplicate payout account (Request Review) · payout-method change</t>
  </si>
  <si>
    <t xml:space="preserve">Add a duplicate PayPal.</t>
  </si>
  <si>
    <t xml:space="preserve">Shopper Account</t>
  </si>
  <si>
    <t xml:space="preserve">Passwordless access to My Offers, Wallet and Profile</t>
  </si>
  <si>
    <t xml:space="preserve">Shoppers sign in with a password.</t>
  </si>
  <si>
    <t xml:space="preserve">Passwordless shopper sign-in not built.</t>
  </si>
  <si>
    <t xml:space="preserve">Profile &amp; account security: verified phone locked; change via admin with re-verification; history</t>
  </si>
  <si>
    <t xml:space="preserve">Phone verify + admin reset.</t>
  </si>
  <si>
    <t xml:space="preserve">Website → Profile</t>
  </si>
  <si>
    <t xml:space="preserve">Verify a phone.</t>
  </si>
  <si>
    <t xml:space="preserve">Lock verified phone from self-service change; keep change history (client Twilio rules). Retest with approved Twilio.</t>
  </si>
  <si>
    <t xml:space="preserve">Admin — Dashboard</t>
  </si>
  <si>
    <t xml:space="preserve">Revenue cards, Needs Attention, Brand Revenue (category/status filter, lowest first), brand-funded rewards</t>
  </si>
  <si>
    <t xml:space="preserve">Revenue cards, Needs Attention links, Brand Revenue with category / status / plan filters, lowest first, Total Nibbl Revenue + Last Activity, brand-funded rewards shown separately.</t>
  </si>
  <si>
    <t xml:space="preserve">Admin Dashboard</t>
  </si>
  <si>
    <t xml:space="preserve">Admin → Dashboard</t>
  </si>
  <si>
    <t xml:space="preserve">Change the date range and the category filter.</t>
  </si>
  <si>
    <t xml:space="preserve">A brand's category = its most common product category (the sign-up category isn't stored).</t>
  </si>
  <si>
    <t xml:space="preserve">#42</t>
  </si>
  <si>
    <t xml:space="preserve">Admin — Withdrawals</t>
  </si>
  <si>
    <t xml:space="preserve">Tabs: Ready for Batch, Manual Review, Processing, Completed, Failed; batch summary (PayPal fees)</t>
  </si>
  <si>
    <t xml:space="preserve">All five tabs with counts; safe requests enter Ready for Batch automatically; live batch summary (count, payouts, est. PayPal fees, total).</t>
  </si>
  <si>
    <t xml:space="preserve">Admin → Withdrawals</t>
  </si>
  <si>
    <t xml:space="preserve">Select requests; watch the summary.</t>
  </si>
  <si>
    <t xml:space="preserve">PayPal fee estimate = $0.25 per payout (configurable on the server).</t>
  </si>
  <si>
    <t xml:space="preserve">Create batch, download PayPal file</t>
  </si>
  <si>
    <t xml:space="preserve">Create Batch from selected requests downloads the PayPal Payouts CSV (Reference ID = Withdrawal ID); past batches can be downloaded again; an exported request can't join a second batch.</t>
  </si>
  <si>
    <t xml:space="preserve">Admin → Withdrawals → Create Batch</t>
  </si>
  <si>
    <t xml:space="preserve">Create a batch; upload the file to PayPal.</t>
  </si>
  <si>
    <t xml:space="preserve">Check the file against PayPal's current Payouts template on first use.</t>
  </si>
  <si>
    <t xml:space="preserve">Import PayPal results (Paid / Failed, partial success, idempotent, match by Withdrawal ID)</t>
  </si>
  <si>
    <t xml:space="preserve">Import PayPal Results: matches Reference ID; SUCCESS → Paid, failures → Failed (retryable or permanent); partial success; re-import changes nothing.</t>
  </si>
  <si>
    <t xml:space="preserve">Admin → Withdrawals → Import PayPal Results</t>
  </si>
  <si>
    <t xml:space="preserve">Import a results CSV twice.</t>
  </si>
  <si>
    <t xml:space="preserve">Manual review: flag reason + history; approve / reject with customer-facing reason; audit</t>
  </si>
  <si>
    <t xml:space="preserve">Manual Review panel: flag reason, shopper history, Approve (→ Ready for Batch) / Reject with required reason; every decision audit-logged.</t>
  </si>
  <si>
    <t xml:space="preserve">Admin → Withdrawals → Manual Review</t>
  </si>
  <si>
    <t xml:space="preserve">Approve and reject a flagged request.</t>
  </si>
  <si>
    <t xml:space="preserve">#43, #51</t>
  </si>
  <si>
    <t xml:space="preserve">Admin — Brands</t>
  </si>
  <si>
    <t xml:space="preserve">KPIs, brand table (category, Nibbl revenue, funds, payment status, activity), filters, sort</t>
  </si>
  <si>
    <t xml:space="preserve">KPIs (active, pending verification, failed payments, suspended); table with category, plan, Nibbl revenue, wallet funds, payment status, last activity, status; search, filters, sort (lowest revenue first).</t>
  </si>
  <si>
    <t xml:space="preserve">Admin → Brands</t>
  </si>
  <si>
    <t xml:space="preserve">Filter by category and plan; sort by lowest revenue.</t>
  </si>
  <si>
    <t xml:space="preserve">#45</t>
  </si>
  <si>
    <t xml:space="preserve">Admin brand access mode ('viewing as Nibbl', every action logged) + brand summary + actions</t>
  </si>
  <si>
    <t xml:space="preserve">Selected-brand summary (verified, payment connected, wallet funds, promotional credits, Nibbl revenue, active campaigns); Open Brand Dashboard opens the brand app in Nibbl Admin Mode (banner: Viewing &lt;brand&gt;. Every action is logged.), every change made there is audit-logged; Add Promotional Credit; Suspend / Reactivate.</t>
  </si>
  <si>
    <t xml:space="preserve">Admin → Brands → brand → Open Brand Dashboard</t>
  </si>
  <si>
    <t xml:space="preserve">Open a brand's dashboard, change a setting, then find it in Settings → View Audit Log.</t>
  </si>
  <si>
    <t xml:space="preserve">#45, #46</t>
  </si>
  <si>
    <t xml:space="preserve">Admin — Campaign Approvals</t>
  </si>
  <si>
    <t xml:space="preserve">Queue, new vs revisions, review, approve / reject / request changes</t>
  </si>
  <si>
    <t xml:space="preserve">Admin → Campaign Approvals</t>
  </si>
  <si>
    <t xml:space="preserve">Approve a campaign.</t>
  </si>
  <si>
    <t xml:space="preserve">#44</t>
  </si>
  <si>
    <t xml:space="preserve">Admin — Promo Codes</t>
  </si>
  <si>
    <t xml:space="preserve">Summary, create code, add brand credit, table (applies to, dates, usage)</t>
  </si>
  <si>
    <t xml:space="preserve">Admin → Promo Codes</t>
  </si>
  <si>
    <t xml:space="preserve">Create a code.</t>
  </si>
  <si>
    <t xml:space="preserve">Admin — Shoppers</t>
  </si>
  <si>
    <t xml:space="preserve">List (status, wallet, redemptions, referrals, brand suspensions, last activity)</t>
  </si>
  <si>
    <t xml:space="preserve">Searchable list (name, email, phone, Shopper ID) with account status, wallet, redemptions, referrals, brand suspensions, last activity.</t>
  </si>
  <si>
    <t xml:space="preserve">Admin → Shoppers</t>
  </si>
  <si>
    <t xml:space="preserve">Search a shopper by email.</t>
  </si>
  <si>
    <t xml:space="preserve">Detail tabs (overview, wallet ledger, claims &amp; reviews, referrals, suspensions), purchase activity, cooldowns, adjust wallet, internal note, global suspend</t>
  </si>
  <si>
    <t xml:space="preserve">Selected shopper: identity + status; tabs Overview (account &amp; payout, wallet: available / pending / lifetime paid, purchase activity: brands + retailers, active cooldowns, internal notes), Wallet Ledger, Claims &amp; Reviews (cancel claim), Referrals, Suspensions; Adjust Wallet (credit/debit, reason required, before/after audit), Add Internal Note, Global Suspend / Reactivate.</t>
  </si>
  <si>
    <t xml:space="preserve">Admin → Shoppers → shopper</t>
  </si>
  <si>
    <t xml:space="preserve">Adjust a wallet with a reason; add a note; check the ledger tab.</t>
  </si>
  <si>
    <t xml:space="preserve">#46, #51</t>
  </si>
  <si>
    <t xml:space="preserve">Admin — Suspensions</t>
  </si>
  <si>
    <t xml:space="preserve">Summary, list, review (remove brand suspension, global suspend), repeated-suspension alert</t>
  </si>
  <si>
    <t xml:space="preserve">New Suspensions page: summary (active brand suspensions, repeat suspensions, global suspensions), searchable list (brand, reason, date, prior count, status) with date/status filters; detail with View Shopper, Remove Brand Suspension, Globally Suspend; repeated suspensions alert only.</t>
  </si>
  <si>
    <t xml:space="preserve">Admin → Suspensions</t>
  </si>
  <si>
    <t xml:space="preserve">Remove a brand suspension; globally suspend a shopper.</t>
  </si>
  <si>
    <t xml:space="preserve">Admin — Referrals</t>
  </si>
  <si>
    <t xml:space="preserve">Summary, filters, details, flag review (approve / reject / suspend)</t>
  </si>
  <si>
    <t xml:space="preserve">Admin → Referrals</t>
  </si>
  <si>
    <t xml:space="preserve">Open the Flagged tab.</t>
  </si>
  <si>
    <t xml:space="preserve">#47</t>
  </si>
  <si>
    <t xml:space="preserve">Admin — Revenue Analytics</t>
  </si>
  <si>
    <t xml:space="preserve">Sources, promo credits used, refunds, processing costs, net revenue, trend chart, brand contribution + export</t>
  </si>
  <si>
    <t xml:space="preserve">New Analytics page: revenue sources, promotional credits used, refunds, processing costs, net revenue, brand-funded rewards; daily Revenue Trend chart; Brand Revenue Contribution (credits + processing per brand) with category / plan filters and Export CSV.</t>
  </si>
  <si>
    <t xml:space="preserve">Admin → Analytics</t>
  </si>
  <si>
    <t xml:space="preserve">Switch the date range; export the CSV.</t>
  </si>
  <si>
    <t xml:space="preserve">Processing costs are estimates (Stripe 2.9% + $0.30 per wallet top-up; $0.25 per payout). Refunds = brand wallet cash returned, shown but not deducted from revenue.</t>
  </si>
  <si>
    <t xml:space="preserve">#49</t>
  </si>
  <si>
    <t xml:space="preserve">Admin — Receipt Brand Discovery</t>
  </si>
  <si>
    <t xml:space="preserve">Summary, filters, leads, brand insight, export</t>
  </si>
  <si>
    <t xml:space="preserve">Admin → Brand Discovery</t>
  </si>
  <si>
    <t xml:space="preserve">Open a lead.</t>
  </si>
  <si>
    <t xml:space="preserve">Brand detected from receipt text.</t>
  </si>
  <si>
    <t xml:space="preserve">#48</t>
  </si>
  <si>
    <t xml:space="preserve">Admin — Settings</t>
  </si>
  <si>
    <t xml:space="preserve">Withdrawal review rules · Discovery ranking · device/network limits</t>
  </si>
  <si>
    <t xml:space="preserve">Change a threshold.</t>
  </si>
  <si>
    <t xml:space="preserve">#50, #51</t>
  </si>
  <si>
    <t xml:space="preserve">Referral flag rules: duplicate payout identity, same device, self-referral, unusual referral volume</t>
  </si>
  <si>
    <t xml:space="preserve">Toggles for the Master rules: duplicate payout identity, same device, self-referral (same name / email / phone, Gmail dots and +tags ignored), unusual referral volume (limit per 7 days); same-network and fraud-signal checks kept as additional toggles.</t>
  </si>
  <si>
    <t xml:space="preserve">Turn a rule off; a matching referral no longer gets flagged.</t>
  </si>
  <si>
    <t xml:space="preserve">Admin Users (staff roles) + View Audit Log</t>
  </si>
  <si>
    <t xml:space="preserve">Admin Users: list, + Add User (Administrator / Operations / Analytics; new admins set their password through the emailed code), change role, remove access; Analytics is read-only and only Administrators change Settings or Admin Users; View Audit Log (latest 200 sensitive actions).</t>
  </si>
  <si>
    <t xml:space="preserve">Admin → Settings → Admin Users</t>
  </si>
  <si>
    <t xml:space="preserve">Add an Analytics user; they can view pages but can't save changes.</t>
  </si>
  <si>
    <t xml:space="preserve">#50</t>
  </si>
  <si>
    <t xml:space="preserve">Cross-cutting</t>
  </si>
  <si>
    <t xml:space="preserve">Fraud &amp; abuse: duplicates, velocity, device / IP / browser checks</t>
  </si>
  <si>
    <t xml:space="preserve">Admin → Users → user</t>
  </si>
  <si>
    <t xml:space="preserve">Create 3 accounts on one browser.</t>
  </si>
  <si>
    <t xml:space="preserve">App must send X-Device-Id.</t>
  </si>
  <si>
    <t xml:space="preserve">#51</t>
  </si>
  <si>
    <t xml:space="preserve">Receipt retention / cleanup (full receipt 30 days, then matching line only)</t>
  </si>
  <si>
    <t xml:space="preserve">Scheduled job (every 15 min) deletes receipt images 30 days after submission (pending receipts are skipped) and records when; matching line items and receipt details stay.</t>
  </si>
  <si>
    <t xml:space="preserve">Backend job</t>
  </si>
  <si>
    <t xml:space="preserve">Automated test: a 31-day-old receipt loses its image and keeps the matching line.</t>
  </si>
  <si>
    <t xml:space="preserve">Ships switched off in production (RECEIPT_IMAGE_PURGE_ENABLED) until the owner approves deleting existing receipt photos.</t>
  </si>
  <si>
    <t xml:space="preserve">System email via AWS SES with bounce / complaint handling</t>
  </si>
  <si>
    <t xml:space="preserve">All system email now goes through Amazon SES as Nibbl &lt;no-reply@joinnibbl.com&gt; (DKIM-signed domain, production access); bounces and complaints go to the SES suppression list.</t>
  </si>
  <si>
    <t xml:space="preserve">Any emailed code or notification</t>
  </si>
  <si>
    <t xml:space="preserve">Request an email code; check the sender.</t>
  </si>
  <si>
    <t xml:space="preserve">Progress by Master Document Section</t>
  </si>
  <si>
    <t xml:space="preserve">Total</t>
  </si>
  <si>
    <t xml:space="preserve">Completion</t>
  </si>
  <si>
    <t xml:space="preserve">Open Dependencies (outside the development team)</t>
  </si>
  <si>
    <t xml:space="preserve">Owner</t>
  </si>
  <si>
    <t xml:space="preserve">What's Needed</t>
  </si>
  <si>
    <t xml:space="preserve">Current State</t>
  </si>
  <si>
    <t xml:space="preserve">Our team — Stripe</t>
  </si>
  <si>
    <t xml:space="preserve">Switch production to the live Stripe keys the client sent; retest checkout, top-up and auto-refill</t>
  </si>
  <si>
    <t xml:space="preserve">Client moved Stripe to live production (live keys + webhook secret received)</t>
  </si>
  <si>
    <t xml:space="preserve">Our team — Twilio</t>
  </si>
  <si>
    <t xml:space="preserve">Retest SMS-verified withdrawals; lock verified phones (change via admin + history)</t>
  </si>
  <si>
    <t xml:space="preserve">Twilio SMS verified on production 12 Oct 2026 (code sent to a Bangladesh number, delivered, approved). Remaining: one real website withdrawal with the SMS step</t>
  </si>
  <si>
    <t xml:space="preserve">Client — DNS</t>
  </si>
  <si>
    <t xml:space="preserve">Cloudflare access for www / brand / admin so the web apps can go live</t>
  </si>
  <si>
    <t xml:space="preserve">Done — www / brand / admin.joinnibbl.com live with SSL on 11 Oct 2026</t>
  </si>
  <si>
    <t xml:space="preserve">AI service (Sakibur)</t>
  </si>
  <si>
    <t xml:space="preserve">Adaptive review questions + AI review summary endpoints</t>
  </si>
  <si>
    <t xml:space="preserve">docs/AI_REVIEW_ENDPOINTS_SPEC.md shared</t>
  </si>
  <si>
    <t xml:space="preserve">Mobile app developer</t>
  </si>
  <si>
    <t xml:space="preserve">App screens for shopper flows; required consents; X-Device-Id; referral progress</t>
  </si>
  <si>
    <t xml:space="preserve">Consumer API handover doc updated</t>
  </si>
  <si>
    <t xml:space="preserve">Client — AWS SES</t>
  </si>
  <si>
    <t xml:space="preserve">System email from @joinnibbl.com + bounce/complaint handling</t>
  </si>
  <si>
    <t xml:space="preserve">Done — production email switched to SES on 11 Oct 2026 (per the client's 10 Oct credentials doc). Note: the Master says Klaviyo sends system emails — confirm SES is the long-term choice</t>
  </si>
  <si>
    <t xml:space="preserve">Client — Firebase</t>
  </si>
  <si>
    <t xml:space="preserve">Push via Workload Identity Federation (EC2 role sent)</t>
  </si>
  <si>
    <t xml:space="preserve">Waiting on client setup</t>
  </si>
  <si>
    <t xml:space="preserve">Client — Klaviyo / SMS decision</t>
  </si>
  <si>
    <t xml:space="preserve">Master Settings §3: 'Klaviyo will send Nibbl system emails and SMS messages' (Nibbl's internal Klaviyo account). Brand SMS toggles are stored but no SMS is sent yet</t>
  </si>
  <si>
    <t xml:space="preserve">Decision needed: Klaviyo access (private API key + SMS sender) as the Master says, or use the existing Twilio account for brand SMS</t>
  </si>
  <si>
    <t xml:space="preserve">Client — FAQ content</t>
  </si>
  <si>
    <t xml:space="preserve">Brand homepage 'Questions?' strip (Master mockup ④ only): Pricing / Review campaigns / Account &amp; billing / General FAQ</t>
  </si>
  <si>
    <t xml:space="preserve">No FAQ content in the Master — need questions/answers or a help-centre link; shown as labels until then</t>
  </si>
  <si>
    <t xml:space="preserve">How to Use This Tracker</t>
  </si>
  <si>
    <t xml:space="preserve">Rows</t>
  </si>
  <si>
    <t xml:space="preserve">One row per requirement, in the Master Document's order, including the requirements shown only in the Master's screenshots. The Master stays the final source of truth. 'Checklist Ref' links to our internal 51-item checklist.</t>
  </si>
  <si>
    <t xml:space="preserve">The full requirement works as intended, has been tested end to end and can be demonstrated. If any required sub-feature is missing, the row stays In Progress.</t>
  </si>
  <si>
    <t xml:space="preserve">Partly built. 'Open Items / Notes' says exactly what is still missing.</t>
  </si>
  <si>
    <t xml:space="preserve">Our part is ready; waiting on a third party (e.g. the AI service endpoint or the client's Firebase setup).</t>
  </si>
  <si>
    <t xml:space="preserve">Not built yet.</t>
  </si>
  <si>
    <t xml:space="preserve">Screen path in the app. Brand Dashboard = brand.joinnibbl.com, Admin = admin.joinnibbl.com, Shopper Website = www.joinnibbl.com once the web apps are deployed (waiting on DNS); until then they run as a testable build against the live API.</t>
  </si>
  <si>
    <t xml:space="preserve">Short steps to see the requirement working. Use test accounts. Production still runs Stripe in test mode (card 4242 4242 4242 4242) until we switch to the live keys — see Open Dependencies.</t>
  </si>
  <si>
    <t xml:space="preserve">Evidence</t>
  </si>
  <si>
    <t xml:space="preserve">Yellow cells — paste a screenshot or screen-recording link (e.g. Loom / Google Drive) for each row as it's demonstrated.</t>
  </si>
  <si>
    <t xml:space="preserve">Shopper rows show 'API ready — app developer to build/confirm': the backend is done and documented; the app developer builds the screen in the mobile app. '—' means not an app screen.</t>
  </si>
  <si>
    <t xml:space="preserve">Status column</t>
  </si>
  <si>
    <t xml:space="preserve">Pick from the dropdown; the totals at the top and the 'Summary by Section' sheet update automatically.</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</si>
</sst>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8"/>
      <color rgb="FF1A365D"/>
      <name val="Roboto"/>
      <family val="0"/>
      <charset val="1"/>
    </font>
    <font>
      <i val="true"/>
      <sz val="9"/>
      <color rgb="FF66727F"/>
      <name val="Roboto"/>
      <family val="0"/>
      <charset val="1"/>
    </font>
    <font>
      <b val="true"/>
      <sz val="9"/>
      <color rgb="FF465469"/>
      <name val="Roboto"/>
      <family val="0"/>
      <charset val="1"/>
    </font>
    <font>
      <i val="true"/>
      <sz val="8"/>
      <color rgb="FF66727F"/>
      <name val="Roboto"/>
      <family val="0"/>
      <charset val="1"/>
    </font>
    <font>
      <b val="true"/>
      <sz val="10"/>
      <color rgb="FFFFFFFF"/>
      <name val="Roboto"/>
      <family val="0"/>
      <charset val="1"/>
    </font>
    <font>
      <sz val="10"/>
      <color rgb="FF1E293A"/>
      <name val="Roboto"/>
      <family val="0"/>
      <charset val="1"/>
    </font>
    <font>
      <b val="true"/>
      <sz val="10"/>
      <color rgb="FF1E293A"/>
      <name val="Roboto"/>
      <family val="0"/>
      <charset val="1"/>
    </font>
    <font>
      <b val="true"/>
      <sz val="16"/>
      <color rgb="FF1A365D"/>
      <name val="Roboto"/>
      <family val="0"/>
      <charset val="1"/>
    </font>
    <font>
      <b val="true"/>
      <sz val="10"/>
      <color rgb="FF1A365D"/>
      <name val="Roboto"/>
      <family val="0"/>
      <charset val="1"/>
    </font>
  </fonts>
  <fills count="6">
    <fill>
      <patternFill patternType="none"/>
    </fill>
    <fill>
      <patternFill patternType="gray125"/>
    </fill>
    <fill>
      <patternFill patternType="solid">
        <fgColor rgb="FFEEF3F8"/>
        <bgColor rgb="FFF1F3F5"/>
      </patternFill>
    </fill>
    <fill>
      <patternFill patternType="solid">
        <fgColor rgb="FFF6F8FB"/>
        <bgColor rgb="FFF1F3F5"/>
      </patternFill>
    </fill>
    <fill>
      <patternFill patternType="solid">
        <fgColor rgb="FF1A365D"/>
        <bgColor rgb="FF1E293A"/>
      </patternFill>
    </fill>
    <fill>
      <patternFill patternType="solid">
        <fgColor rgb="FFFFFBEA"/>
        <bgColor rgb="FFFFF4E0"/>
      </patternFill>
    </fill>
  </fills>
  <borders count="10">
    <border diagonalUp="false" diagonalDown="false">
      <left/>
      <right/>
      <top/>
      <bottom/>
      <diagonal/>
    </border>
    <border diagonalUp="false" diagonalDown="false">
      <left style="thin">
        <color rgb="FFBFCCD8"/>
      </left>
      <right style="thin">
        <color rgb="FFBFCCD8"/>
      </right>
      <top style="thin">
        <color rgb="FFBFCCD8"/>
      </top>
      <bottom style="thin">
        <color rgb="FFE1E8EF"/>
      </bottom>
      <diagonal/>
    </border>
    <border diagonalUp="false" diagonalDown="false">
      <left style="thin">
        <color rgb="FFBFCCD8"/>
      </left>
      <right style="thin">
        <color rgb="FFBFCCD8"/>
      </right>
      <top style="thin">
        <color rgb="FFE1E8EF"/>
      </top>
      <bottom style="thin">
        <color rgb="FFE1E8EF"/>
      </bottom>
      <diagonal/>
    </border>
    <border diagonalUp="false" diagonalDown="false">
      <left style="thin">
        <color rgb="FFBFCCD8"/>
      </left>
      <right style="thin">
        <color rgb="FFBFCCD8"/>
      </right>
      <top style="thin">
        <color rgb="FFE1E8EF"/>
      </top>
      <bottom style="thin">
        <color rgb="FFBFCCD8"/>
      </bottom>
      <diagonal/>
    </border>
    <border diagonalUp="false" diagonalDown="false">
      <left/>
      <right/>
      <top style="thin">
        <color rgb="FF1A365D"/>
      </top>
      <bottom style="thin">
        <color rgb="FFE1E8EF"/>
      </bottom>
      <diagonal/>
    </border>
    <border diagonalUp="false" diagonalDown="false">
      <left style="thin">
        <color rgb="FFBFCCD8"/>
      </left>
      <right/>
      <top style="thin">
        <color rgb="FFE1E8EF"/>
      </top>
      <bottom style="thin">
        <color rgb="FFE1E8EF"/>
      </bottom>
      <diagonal/>
    </border>
    <border diagonalUp="false" diagonalDown="false">
      <left/>
      <right/>
      <top style="thin">
        <color rgb="FFE1E8EF"/>
      </top>
      <bottom style="thin">
        <color rgb="FFE1E8EF"/>
      </bottom>
      <diagonal/>
    </border>
    <border diagonalUp="false" diagonalDown="false">
      <left/>
      <right style="thin">
        <color rgb="FFBFCCD8"/>
      </right>
      <top style="thin">
        <color rgb="FFE1E8EF"/>
      </top>
      <bottom style="thin">
        <color rgb="FFE1E8EF"/>
      </bottom>
      <diagonal/>
    </border>
    <border diagonalUp="false" diagonalDown="false">
      <left/>
      <right/>
      <top/>
      <bottom style="thin">
        <color rgb="FFE1E8EF"/>
      </bottom>
      <diagonal/>
    </border>
    <border diagonalUp="false" diagonalDown="false">
      <left/>
      <right/>
      <top style="thin">
        <color rgb="FF1A365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4" fillId="3" borderId="2" xfId="0" applyFont="true" applyBorder="true" applyAlignment="true" applyProtection="false">
      <alignment horizontal="center" vertical="center" textRotation="0" wrapText="true" indent="0" shrinkToFit="false"/>
      <protection locked="true" hidden="false"/>
    </xf>
    <xf numFmtId="166" fontId="4" fillId="3" borderId="2"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center" vertical="center" textRotation="0" wrapText="true" indent="0" shrinkToFit="false"/>
      <protection locked="true" hidden="false"/>
    </xf>
    <xf numFmtId="164" fontId="8" fillId="4" borderId="4" xfId="0" applyFont="true" applyBorder="true" applyAlignment="true" applyProtection="false">
      <alignment horizontal="center" vertical="center" textRotation="0" wrapText="true" indent="0" shrinkToFit="false"/>
      <protection locked="true" hidden="false"/>
    </xf>
    <xf numFmtId="164" fontId="8" fillId="4" borderId="4" xfId="0" applyFont="true" applyBorder="true" applyAlignment="true" applyProtection="false">
      <alignment horizontal="left"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4" fontId="9" fillId="0" borderId="6" xfId="0" applyFont="true" applyBorder="true" applyAlignment="true" applyProtection="false">
      <alignment horizontal="left" vertical="center" textRotation="0" wrapText="true" indent="0" shrinkToFit="false"/>
      <protection locked="true" hidden="false"/>
    </xf>
    <xf numFmtId="164" fontId="10" fillId="0" borderId="6" xfId="0" applyFont="true" applyBorder="true" applyAlignment="true" applyProtection="false">
      <alignment horizontal="center" vertical="center" textRotation="0" wrapText="true" indent="0" shrinkToFit="false"/>
      <protection locked="true" hidden="false"/>
    </xf>
    <xf numFmtId="164" fontId="9" fillId="5" borderId="6" xfId="0" applyFont="true" applyBorder="true" applyAlignment="true" applyProtection="false">
      <alignment horizontal="left" vertical="center" textRotation="0" wrapText="true" indent="0" shrinkToFit="false"/>
      <protection locked="true" hidden="false"/>
    </xf>
    <xf numFmtId="164" fontId="9" fillId="0" borderId="7"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left"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5" fontId="9" fillId="0" borderId="8" xfId="0" applyFont="true" applyBorder="true" applyAlignment="true" applyProtection="false">
      <alignment horizontal="center" vertical="center" textRotation="0" wrapText="false" indent="0" shrinkToFit="false"/>
      <protection locked="true" hidden="false"/>
    </xf>
    <xf numFmtId="167" fontId="9" fillId="0" borderId="8" xfId="0" applyFont="true" applyBorder="true" applyAlignment="true" applyProtection="false">
      <alignment horizontal="center" vertical="center" textRotation="0" wrapText="false" indent="0" shrinkToFit="false"/>
      <protection locked="true" hidden="false"/>
    </xf>
    <xf numFmtId="164" fontId="12" fillId="0" borderId="9" xfId="0" applyFont="true" applyBorder="true" applyAlignment="true" applyProtection="false">
      <alignment horizontal="left" vertical="bottom" textRotation="0" wrapText="false" indent="0" shrinkToFit="false"/>
      <protection locked="true" hidden="false"/>
    </xf>
    <xf numFmtId="165" fontId="12" fillId="0" borderId="9" xfId="0" applyFont="true" applyBorder="true" applyAlignment="true" applyProtection="false">
      <alignment horizontal="center" vertical="bottom" textRotation="0" wrapText="false" indent="0" shrinkToFit="false"/>
      <protection locked="true" hidden="false"/>
    </xf>
    <xf numFmtId="167" fontId="12" fillId="0" borderId="9" xfId="0" applyFont="true" applyBorder="true" applyAlignment="true" applyProtection="false">
      <alignment horizontal="center" vertical="bottom"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9" fillId="0" borderId="8" xfId="0" applyFont="true" applyBorder="true" applyAlignment="true" applyProtection="false">
      <alignment horizontal="left" vertical="center" textRotation="0" wrapText="true" indent="0" shrinkToFit="false"/>
      <protection locked="true" hidden="false"/>
    </xf>
    <xf numFmtId="164" fontId="10" fillId="0" borderId="8" xfId="0" applyFont="true" applyBorder="true" applyAlignment="true" applyProtection="false">
      <alignment horizontal="center" vertical="center" textRotation="0" wrapText="true" indent="0" shrinkToFit="false"/>
      <protection locked="true" hidden="false"/>
    </xf>
    <xf numFmtId="164" fontId="12" fillId="0" borderId="8" xfId="0" applyFont="true" applyBorder="true" applyAlignment="true" applyProtection="false">
      <alignment horizontal="general" vertical="top" textRotation="0" wrapText="true" indent="0" shrinkToFit="false"/>
      <protection locked="true" hidden="false"/>
    </xf>
    <xf numFmtId="164" fontId="9" fillId="0" borderId="8"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A365D"/>
          <bgColor rgb="FF000000"/>
        </patternFill>
      </fill>
    </dxf>
    <dxf>
      <fill>
        <patternFill patternType="solid">
          <bgColor rgb="FF000000"/>
        </patternFill>
      </fill>
    </dxf>
    <dxf>
      <fill>
        <patternFill patternType="solid">
          <fgColor rgb="FF1E293A"/>
          <bgColor rgb="FF000000"/>
        </patternFill>
      </fill>
    </dxf>
    <dxf>
      <fill>
        <patternFill patternType="solid">
          <fgColor rgb="FFFFFFFF"/>
          <bgColor rgb="FF000000"/>
        </patternFill>
      </fill>
    </dxf>
    <dxf>
      <fill>
        <patternFill patternType="solid">
          <fgColor rgb="FFE6F4EA"/>
          <bgColor rgb="FF000000"/>
        </patternFill>
      </fill>
    </dxf>
    <dxf>
      <fill>
        <patternFill patternType="solid">
          <fgColor rgb="FFE8F0FE"/>
          <bgColor rgb="FF000000"/>
        </patternFill>
      </fill>
    </dxf>
    <dxf>
      <fill>
        <patternFill patternType="solid">
          <fgColor rgb="FFF1F3F5"/>
          <bgColor rgb="FF000000"/>
        </patternFill>
      </fill>
    </dxf>
    <dxf>
      <fill>
        <patternFill patternType="solid">
          <fgColor rgb="FFFFF4E0"/>
          <bgColor rgb="FF000000"/>
        </patternFill>
      </fill>
    </dxf>
    <dxf>
      <fill>
        <patternFill patternType="solid">
          <fgColor rgb="FF1A4FB0"/>
          <bgColor rgb="FF000000"/>
        </patternFill>
      </fill>
    </dxf>
    <dxf>
      <fill>
        <patternFill patternType="solid">
          <fgColor rgb="FF1E7B3C"/>
          <bgColor rgb="FF000000"/>
        </patternFill>
      </fill>
    </dxf>
    <dxf>
      <fill>
        <patternFill patternType="solid">
          <fgColor rgb="FF5B6470"/>
          <bgColor rgb="FF000000"/>
        </patternFill>
      </fill>
    </dxf>
    <dxf>
      <fill>
        <patternFill patternType="solid">
          <fgColor rgb="FF9A5B00"/>
          <bgColor rgb="FF000000"/>
        </patternFill>
      </fill>
    </dxf>
    <dxf>
      <fill>
        <patternFill patternType="solid">
          <fgColor rgb="FFFFFBEA"/>
          <bgColor rgb="FF000000"/>
        </patternFill>
      </fill>
    </dxf>
    <dxf>
      <font>
        <b val="1"/>
        <color rgb="FF1E7B3C"/>
      </font>
      <fill>
        <patternFill>
          <bgColor rgb="FFE6F4EA"/>
        </patternFill>
      </fill>
    </dxf>
    <dxf>
      <font>
        <b val="1"/>
        <color rgb="FF9A5B00"/>
      </font>
      <fill>
        <patternFill>
          <bgColor rgb="FFFFF4E0"/>
        </patternFill>
      </fill>
    </dxf>
    <dxf>
      <font>
        <b val="1"/>
        <color rgb="FF1A4FB0"/>
      </font>
      <fill>
        <patternFill>
          <bgColor rgb="FFE8F0FE"/>
        </patternFill>
      </fill>
    </dxf>
    <dxf>
      <font>
        <b val="1"/>
        <color rgb="FF5B6470"/>
      </font>
      <fill>
        <patternFill>
          <bgColor rgb="FFF1F3F5"/>
        </patternFill>
      </fill>
    </dxf>
  </dxfs>
  <colors>
    <indexedColors>
      <rgbColor rgb="FF000000"/>
      <rgbColor rgb="FFFFFFFF"/>
      <rgbColor rgb="FFFF0000"/>
      <rgbColor rgb="FF00FF00"/>
      <rgbColor rgb="FF0000FF"/>
      <rgbColor rgb="FFFFFF00"/>
      <rgbColor rgb="FFFF00FF"/>
      <rgbColor rgb="FF00FFFF"/>
      <rgbColor rgb="FF800000"/>
      <rgbColor rgb="FF1E7B3C"/>
      <rgbColor rgb="FF000080"/>
      <rgbColor rgb="FF808000"/>
      <rgbColor rgb="FF800080"/>
      <rgbColor rgb="FF008080"/>
      <rgbColor rgb="FFBFCCD8"/>
      <rgbColor rgb="FF5B6470"/>
      <rgbColor rgb="FF9999FF"/>
      <rgbColor rgb="FF993366"/>
      <rgbColor rgb="FFFFFBEA"/>
      <rgbColor rgb="FFE6F4EA"/>
      <rgbColor rgb="FF660066"/>
      <rgbColor rgb="FFFF8080"/>
      <rgbColor rgb="FF1A4FB0"/>
      <rgbColor rgb="FFEEF3F8"/>
      <rgbColor rgb="FF000080"/>
      <rgbColor rgb="FFFF00FF"/>
      <rgbColor rgb="FFFFFF00"/>
      <rgbColor rgb="FF00FFFF"/>
      <rgbColor rgb="FF800080"/>
      <rgbColor rgb="FF800000"/>
      <rgbColor rgb="FF008080"/>
      <rgbColor rgb="FF0000FF"/>
      <rgbColor rgb="FF00CCFF"/>
      <rgbColor rgb="FFE8F0FE"/>
      <rgbColor rgb="FFE1E8EF"/>
      <rgbColor rgb="FFFFF4E0"/>
      <rgbColor rgb="FFF6F8FB"/>
      <rgbColor rgb="FFFF99CC"/>
      <rgbColor rgb="FFCC99FF"/>
      <rgbColor rgb="FFF1F3F5"/>
      <rgbColor rgb="FF3366FF"/>
      <rgbColor rgb="FF33CCCC"/>
      <rgbColor rgb="FF99CC00"/>
      <rgbColor rgb="FFFFCC00"/>
      <rgbColor rgb="FFFF9900"/>
      <rgbColor rgb="FFFF6600"/>
      <rgbColor rgb="FF66727F"/>
      <rgbColor rgb="FF969696"/>
      <rgbColor rgb="FF1A365D"/>
      <rgbColor rgb="FF339966"/>
      <rgbColor rgb="FF003300"/>
      <rgbColor rgb="FF333300"/>
      <rgbColor rgb="FF9A5B00"/>
      <rgbColor rgb="FF993366"/>
      <rgbColor rgb="FF465469"/>
      <rgbColor rgb="FF1E29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M1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75"/>
    <col collapsed="false" customWidth="true" hidden="false" outlineLevel="0" max="2" min="2" style="0" width="6"/>
    <col collapsed="false" customWidth="true" hidden="false" outlineLevel="0" max="3" min="3" style="0" width="26"/>
    <col collapsed="false" customWidth="true" hidden="false" outlineLevel="0" max="4" min="4" style="0" width="46"/>
    <col collapsed="false" customWidth="true" hidden="false" outlineLevel="0" max="5" min="5" style="0" width="40"/>
    <col collapsed="false" customWidth="true" hidden="false" outlineLevel="0" max="6" min="6" style="0" width="14"/>
    <col collapsed="false" customWidth="true" hidden="false" outlineLevel="0" max="7" min="7" style="0" width="22"/>
    <col collapsed="false" customWidth="true" hidden="false" outlineLevel="0" max="8" min="8" style="0" width="24"/>
    <col collapsed="false" customWidth="true" hidden="false" outlineLevel="0" max="9" min="9" style="0" width="26"/>
    <col collapsed="false" customWidth="true" hidden="false" outlineLevel="0" max="10" min="10" style="0" width="32"/>
    <col collapsed="false" customWidth="true" hidden="false" outlineLevel="0" max="11" min="11" style="0" width="46"/>
    <col collapsed="false" customWidth="true" hidden="false" outlineLevel="0" max="12" min="12" style="0" width="30"/>
    <col collapsed="false" customWidth="true" hidden="false" outlineLevel="0" max="13" min="13" style="0" width="12"/>
  </cols>
  <sheetData>
    <row r="1" customFormat="false" ht="6.75" hidden="false" customHeight="true" outlineLevel="0" collapsed="false"/>
    <row r="2" customFormat="false" ht="27" hidden="false" customHeight="true" outlineLevel="0" collapsed="false">
      <c r="B2" s="1" t="s">
        <v>0</v>
      </c>
    </row>
    <row r="3" customFormat="false" ht="16.5" hidden="false" customHeight="true" outlineLevel="0" collapsed="false">
      <c r="B3" s="2" t="s">
        <v>1</v>
      </c>
    </row>
    <row r="4" customFormat="false" ht="18" hidden="false" customHeight="true" outlineLevel="0" collapsed="false">
      <c r="C4" s="3" t="s">
        <v>2</v>
      </c>
      <c r="D4" s="3" t="s">
        <v>3</v>
      </c>
      <c r="E4" s="3" t="s">
        <v>4</v>
      </c>
      <c r="F4" s="3" t="s">
        <v>5</v>
      </c>
      <c r="G4" s="3" t="s">
        <v>6</v>
      </c>
      <c r="H4" s="3" t="s">
        <v>7</v>
      </c>
    </row>
    <row r="5" customFormat="false" ht="27" hidden="false" customHeight="true" outlineLevel="0" collapsed="false">
      <c r="C5" s="4" t="n">
        <f aca="false">COUNTA(D9:D158)</f>
        <v>150</v>
      </c>
      <c r="D5" s="4" t="n">
        <f aca="false">COUNTIF(F9:F158,"Completed")</f>
        <v>130</v>
      </c>
      <c r="E5" s="4" t="n">
        <f aca="false">COUNTIF(F9:F158,"In Progress")</f>
        <v>13</v>
      </c>
      <c r="F5" s="4" t="n">
        <f aca="false">COUNTIF(F9:F158,"In Review")</f>
        <v>2</v>
      </c>
      <c r="G5" s="4" t="n">
        <f aca="false">COUNTIF(F9:F158,"Planned")</f>
        <v>5</v>
      </c>
      <c r="H5" s="5" t="n">
        <f aca="false">IF(C5&gt;0,D5/C5,0)</f>
        <v>0.866666666666667</v>
      </c>
    </row>
    <row r="6" customFormat="false" ht="24" hidden="false" customHeight="true" outlineLevel="0" collapsed="false">
      <c r="C6" s="6" t="s">
        <v>8</v>
      </c>
      <c r="D6" s="6" t="s">
        <v>9</v>
      </c>
      <c r="E6" s="6" t="s">
        <v>10</v>
      </c>
      <c r="F6" s="6" t="s">
        <v>11</v>
      </c>
      <c r="G6" s="6" t="s">
        <v>12</v>
      </c>
      <c r="H6" s="6" t="s">
        <v>13</v>
      </c>
    </row>
    <row r="7" customFormat="false" ht="12" hidden="false" customHeight="true" outlineLevel="0" collapsed="false"/>
    <row r="8" customFormat="false" ht="30" hidden="false" customHeight="true" outlineLevel="0" collapsed="false">
      <c r="B8" s="7" t="s">
        <v>14</v>
      </c>
      <c r="C8" s="8" t="s">
        <v>15</v>
      </c>
      <c r="D8" s="8" t="s">
        <v>16</v>
      </c>
      <c r="E8" s="8" t="s">
        <v>17</v>
      </c>
      <c r="F8" s="7" t="s">
        <v>18</v>
      </c>
      <c r="G8" s="8" t="s">
        <v>19</v>
      </c>
      <c r="H8" s="8" t="s">
        <v>20</v>
      </c>
      <c r="I8" s="8" t="s">
        <v>21</v>
      </c>
      <c r="J8" s="8" t="s">
        <v>22</v>
      </c>
      <c r="K8" s="8" t="s">
        <v>23</v>
      </c>
      <c r="L8" s="8" t="s">
        <v>24</v>
      </c>
      <c r="M8" s="7" t="s">
        <v>25</v>
      </c>
    </row>
    <row r="9" customFormat="false" ht="33.75" hidden="false" customHeight="true" outlineLevel="0" collapsed="false">
      <c r="B9" s="9" t="n">
        <v>1</v>
      </c>
      <c r="C9" s="10" t="s">
        <v>26</v>
      </c>
      <c r="D9" s="10" t="s">
        <v>27</v>
      </c>
      <c r="E9" s="10" t="s">
        <v>28</v>
      </c>
      <c r="F9" s="11" t="s">
        <v>29</v>
      </c>
      <c r="G9" s="10" t="s">
        <v>30</v>
      </c>
      <c r="H9" s="10" t="s">
        <v>31</v>
      </c>
      <c r="I9" s="10" t="s">
        <v>32</v>
      </c>
      <c r="J9" s="10" t="s">
        <v>33</v>
      </c>
      <c r="K9" s="10"/>
      <c r="L9" s="12"/>
      <c r="M9" s="13" t="s">
        <v>34</v>
      </c>
    </row>
    <row r="10" customFormat="false" ht="25.5" hidden="false" customHeight="true" outlineLevel="0" collapsed="false">
      <c r="B10" s="9" t="n">
        <v>2</v>
      </c>
      <c r="C10" s="10" t="s">
        <v>26</v>
      </c>
      <c r="D10" s="10" t="s">
        <v>35</v>
      </c>
      <c r="E10" s="10" t="s">
        <v>36</v>
      </c>
      <c r="F10" s="11" t="s">
        <v>29</v>
      </c>
      <c r="G10" s="10" t="s">
        <v>30</v>
      </c>
      <c r="H10" s="10" t="s">
        <v>31</v>
      </c>
      <c r="I10" s="10" t="s">
        <v>37</v>
      </c>
      <c r="J10" s="10" t="s">
        <v>38</v>
      </c>
      <c r="K10" s="10"/>
      <c r="L10" s="12"/>
      <c r="M10" s="13" t="s">
        <v>39</v>
      </c>
    </row>
    <row r="11" customFormat="false" ht="25.5" hidden="false" customHeight="true" outlineLevel="0" collapsed="false">
      <c r="B11" s="9" t="n">
        <v>3</v>
      </c>
      <c r="C11" s="10" t="s">
        <v>26</v>
      </c>
      <c r="D11" s="10" t="s">
        <v>40</v>
      </c>
      <c r="E11" s="10" t="s">
        <v>41</v>
      </c>
      <c r="F11" s="11" t="s">
        <v>29</v>
      </c>
      <c r="G11" s="10" t="s">
        <v>30</v>
      </c>
      <c r="H11" s="10" t="s">
        <v>31</v>
      </c>
      <c r="I11" s="10" t="s">
        <v>42</v>
      </c>
      <c r="J11" s="10" t="s">
        <v>43</v>
      </c>
      <c r="K11" s="10"/>
      <c r="L11" s="12"/>
      <c r="M11" s="13" t="s">
        <v>44</v>
      </c>
    </row>
    <row r="12" customFormat="false" ht="25.5" hidden="false" customHeight="true" outlineLevel="0" collapsed="false">
      <c r="B12" s="9" t="n">
        <v>4</v>
      </c>
      <c r="C12" s="10" t="s">
        <v>26</v>
      </c>
      <c r="D12" s="10" t="s">
        <v>45</v>
      </c>
      <c r="E12" s="10" t="s">
        <v>46</v>
      </c>
      <c r="F12" s="11" t="s">
        <v>29</v>
      </c>
      <c r="G12" s="10" t="s">
        <v>30</v>
      </c>
      <c r="H12" s="10" t="s">
        <v>31</v>
      </c>
      <c r="I12" s="10" t="s">
        <v>47</v>
      </c>
      <c r="J12" s="10" t="s">
        <v>48</v>
      </c>
      <c r="K12" s="10"/>
      <c r="L12" s="12"/>
      <c r="M12" s="13" t="s">
        <v>34</v>
      </c>
    </row>
    <row r="13" customFormat="false" ht="48" hidden="false" customHeight="true" outlineLevel="0" collapsed="false">
      <c r="B13" s="9" t="n">
        <v>5</v>
      </c>
      <c r="C13" s="10" t="s">
        <v>26</v>
      </c>
      <c r="D13" s="10" t="s">
        <v>49</v>
      </c>
      <c r="E13" s="10" t="s">
        <v>50</v>
      </c>
      <c r="F13" s="11" t="s">
        <v>29</v>
      </c>
      <c r="G13" s="10" t="s">
        <v>51</v>
      </c>
      <c r="H13" s="10" t="s">
        <v>31</v>
      </c>
      <c r="I13" s="10" t="s">
        <v>52</v>
      </c>
      <c r="J13" s="10" t="s">
        <v>53</v>
      </c>
      <c r="K13" s="10"/>
      <c r="L13" s="12"/>
      <c r="M13" s="13" t="s">
        <v>34</v>
      </c>
    </row>
    <row r="14" customFormat="false" ht="33.75" hidden="false" customHeight="true" outlineLevel="0" collapsed="false">
      <c r="B14" s="9" t="n">
        <v>6</v>
      </c>
      <c r="C14" s="10" t="s">
        <v>26</v>
      </c>
      <c r="D14" s="10" t="s">
        <v>54</v>
      </c>
      <c r="E14" s="10" t="s">
        <v>55</v>
      </c>
      <c r="F14" s="11" t="s">
        <v>29</v>
      </c>
      <c r="G14" s="10" t="s">
        <v>30</v>
      </c>
      <c r="H14" s="10" t="s">
        <v>31</v>
      </c>
      <c r="I14" s="10" t="s">
        <v>32</v>
      </c>
      <c r="J14" s="10" t="s">
        <v>56</v>
      </c>
      <c r="K14" s="10"/>
      <c r="L14" s="12"/>
      <c r="M14" s="13" t="s">
        <v>57</v>
      </c>
    </row>
    <row r="15" customFormat="false" ht="33.75" hidden="false" customHeight="true" outlineLevel="0" collapsed="false">
      <c r="B15" s="9" t="n">
        <v>7</v>
      </c>
      <c r="C15" s="10" t="s">
        <v>26</v>
      </c>
      <c r="D15" s="10" t="s">
        <v>58</v>
      </c>
      <c r="E15" s="10" t="s">
        <v>59</v>
      </c>
      <c r="F15" s="11" t="s">
        <v>29</v>
      </c>
      <c r="G15" s="10" t="s">
        <v>30</v>
      </c>
      <c r="H15" s="10" t="s">
        <v>31</v>
      </c>
      <c r="I15" s="10" t="s">
        <v>32</v>
      </c>
      <c r="J15" s="10" t="s">
        <v>60</v>
      </c>
      <c r="K15" s="10"/>
      <c r="L15" s="12"/>
      <c r="M15" s="13" t="s">
        <v>57</v>
      </c>
    </row>
    <row r="16" customFormat="false" ht="48" hidden="false" customHeight="true" outlineLevel="0" collapsed="false">
      <c r="B16" s="9" t="n">
        <v>8</v>
      </c>
      <c r="C16" s="10" t="s">
        <v>26</v>
      </c>
      <c r="D16" s="10" t="s">
        <v>61</v>
      </c>
      <c r="E16" s="10" t="s">
        <v>62</v>
      </c>
      <c r="F16" s="11" t="s">
        <v>29</v>
      </c>
      <c r="G16" s="10" t="s">
        <v>51</v>
      </c>
      <c r="H16" s="10" t="s">
        <v>31</v>
      </c>
      <c r="I16" s="10" t="s">
        <v>63</v>
      </c>
      <c r="J16" s="10" t="s">
        <v>64</v>
      </c>
      <c r="K16" s="10"/>
      <c r="L16" s="12"/>
      <c r="M16" s="13" t="s">
        <v>34</v>
      </c>
    </row>
    <row r="17" customFormat="false" ht="25.5" hidden="false" customHeight="true" outlineLevel="0" collapsed="false">
      <c r="B17" s="9" t="n">
        <v>9</v>
      </c>
      <c r="C17" s="10" t="s">
        <v>65</v>
      </c>
      <c r="D17" s="10" t="s">
        <v>66</v>
      </c>
      <c r="E17" s="10" t="s">
        <v>67</v>
      </c>
      <c r="F17" s="11" t="s">
        <v>29</v>
      </c>
      <c r="G17" s="10" t="s">
        <v>30</v>
      </c>
      <c r="H17" s="10" t="s">
        <v>31</v>
      </c>
      <c r="I17" s="10" t="s">
        <v>65</v>
      </c>
      <c r="J17" s="10" t="s">
        <v>68</v>
      </c>
      <c r="K17" s="10"/>
      <c r="L17" s="12"/>
      <c r="M17" s="13" t="s">
        <v>69</v>
      </c>
    </row>
    <row r="18" customFormat="false" ht="33.75" hidden="false" customHeight="true" outlineLevel="0" collapsed="false">
      <c r="B18" s="9" t="n">
        <v>10</v>
      </c>
      <c r="C18" s="10" t="s">
        <v>65</v>
      </c>
      <c r="D18" s="10" t="s">
        <v>70</v>
      </c>
      <c r="E18" s="10" t="s">
        <v>71</v>
      </c>
      <c r="F18" s="11" t="s">
        <v>72</v>
      </c>
      <c r="G18" s="10" t="s">
        <v>30</v>
      </c>
      <c r="H18" s="10" t="s">
        <v>31</v>
      </c>
      <c r="I18" s="10" t="s">
        <v>65</v>
      </c>
      <c r="J18" s="10" t="s">
        <v>73</v>
      </c>
      <c r="K18" s="10" t="s">
        <v>74</v>
      </c>
      <c r="L18" s="12"/>
      <c r="M18" s="13" t="s">
        <v>69</v>
      </c>
    </row>
    <row r="19" customFormat="false" ht="33.75" hidden="false" customHeight="true" outlineLevel="0" collapsed="false">
      <c r="B19" s="9" t="n">
        <v>11</v>
      </c>
      <c r="C19" s="10" t="s">
        <v>65</v>
      </c>
      <c r="D19" s="10" t="s">
        <v>75</v>
      </c>
      <c r="E19" s="10" t="s">
        <v>76</v>
      </c>
      <c r="F19" s="11" t="s">
        <v>72</v>
      </c>
      <c r="G19" s="10" t="s">
        <v>51</v>
      </c>
      <c r="H19" s="10" t="s">
        <v>31</v>
      </c>
      <c r="I19" s="10" t="s">
        <v>77</v>
      </c>
      <c r="J19" s="10" t="s">
        <v>78</v>
      </c>
      <c r="K19" s="10" t="s">
        <v>79</v>
      </c>
      <c r="L19" s="12"/>
      <c r="M19" s="13" t="s">
        <v>69</v>
      </c>
    </row>
    <row r="20" customFormat="false" ht="33.75" hidden="false" customHeight="true" outlineLevel="0" collapsed="false">
      <c r="B20" s="9" t="n">
        <v>12</v>
      </c>
      <c r="C20" s="10" t="s">
        <v>65</v>
      </c>
      <c r="D20" s="10" t="s">
        <v>80</v>
      </c>
      <c r="E20" s="10" t="s">
        <v>81</v>
      </c>
      <c r="F20" s="11" t="s">
        <v>29</v>
      </c>
      <c r="G20" s="10" t="s">
        <v>51</v>
      </c>
      <c r="H20" s="10" t="s">
        <v>31</v>
      </c>
      <c r="I20" s="10" t="s">
        <v>77</v>
      </c>
      <c r="J20" s="10" t="s">
        <v>82</v>
      </c>
      <c r="K20" s="10"/>
      <c r="L20" s="12"/>
      <c r="M20" s="13" t="s">
        <v>83</v>
      </c>
    </row>
    <row r="21" customFormat="false" ht="33.75" hidden="false" customHeight="true" outlineLevel="0" collapsed="false">
      <c r="B21" s="9" t="n">
        <v>13</v>
      </c>
      <c r="C21" s="10" t="s">
        <v>65</v>
      </c>
      <c r="D21" s="10" t="s">
        <v>84</v>
      </c>
      <c r="E21" s="10" t="s">
        <v>85</v>
      </c>
      <c r="F21" s="11" t="s">
        <v>86</v>
      </c>
      <c r="G21" s="10" t="s">
        <v>87</v>
      </c>
      <c r="H21" s="10" t="s">
        <v>31</v>
      </c>
      <c r="I21" s="10" t="s">
        <v>31</v>
      </c>
      <c r="J21" s="10" t="s">
        <v>31</v>
      </c>
      <c r="K21" s="10" t="s">
        <v>88</v>
      </c>
      <c r="L21" s="12"/>
      <c r="M21" s="13" t="s">
        <v>31</v>
      </c>
    </row>
    <row r="22" customFormat="false" ht="25.5" hidden="false" customHeight="true" outlineLevel="0" collapsed="false">
      <c r="B22" s="9" t="n">
        <v>14</v>
      </c>
      <c r="C22" s="10" t="s">
        <v>65</v>
      </c>
      <c r="D22" s="10" t="s">
        <v>89</v>
      </c>
      <c r="E22" s="10" t="s">
        <v>90</v>
      </c>
      <c r="F22" s="11" t="s">
        <v>29</v>
      </c>
      <c r="G22" s="10" t="s">
        <v>30</v>
      </c>
      <c r="H22" s="10" t="s">
        <v>31</v>
      </c>
      <c r="I22" s="10" t="s">
        <v>77</v>
      </c>
      <c r="J22" s="10" t="s">
        <v>91</v>
      </c>
      <c r="K22" s="10"/>
      <c r="L22" s="12"/>
      <c r="M22" s="13" t="s">
        <v>69</v>
      </c>
    </row>
    <row r="23" customFormat="false" ht="33.75" hidden="false" customHeight="true" outlineLevel="0" collapsed="false">
      <c r="B23" s="9" t="n">
        <v>15</v>
      </c>
      <c r="C23" s="10" t="s">
        <v>65</v>
      </c>
      <c r="D23" s="10" t="s">
        <v>92</v>
      </c>
      <c r="E23" s="10" t="s">
        <v>93</v>
      </c>
      <c r="F23" s="11" t="s">
        <v>72</v>
      </c>
      <c r="G23" s="10" t="s">
        <v>51</v>
      </c>
      <c r="H23" s="10" t="s">
        <v>31</v>
      </c>
      <c r="I23" s="10" t="s">
        <v>94</v>
      </c>
      <c r="J23" s="10" t="s">
        <v>95</v>
      </c>
      <c r="K23" s="10" t="s">
        <v>96</v>
      </c>
      <c r="L23" s="12"/>
      <c r="M23" s="13" t="s">
        <v>97</v>
      </c>
    </row>
    <row r="24" customFormat="false" ht="33.75" hidden="false" customHeight="true" outlineLevel="0" collapsed="false">
      <c r="B24" s="9" t="n">
        <v>16</v>
      </c>
      <c r="C24" s="10" t="s">
        <v>65</v>
      </c>
      <c r="D24" s="10" t="s">
        <v>98</v>
      </c>
      <c r="E24" s="10" t="s">
        <v>99</v>
      </c>
      <c r="F24" s="11" t="s">
        <v>29</v>
      </c>
      <c r="G24" s="10" t="s">
        <v>30</v>
      </c>
      <c r="H24" s="10" t="s">
        <v>31</v>
      </c>
      <c r="I24" s="10" t="s">
        <v>100</v>
      </c>
      <c r="J24" s="10" t="s">
        <v>101</v>
      </c>
      <c r="K24" s="10"/>
      <c r="L24" s="12"/>
      <c r="M24" s="13" t="s">
        <v>102</v>
      </c>
    </row>
    <row r="25" customFormat="false" ht="33.75" hidden="false" customHeight="true" outlineLevel="0" collapsed="false">
      <c r="B25" s="9" t="n">
        <v>17</v>
      </c>
      <c r="C25" s="10" t="s">
        <v>65</v>
      </c>
      <c r="D25" s="10" t="s">
        <v>103</v>
      </c>
      <c r="E25" s="10" t="s">
        <v>104</v>
      </c>
      <c r="F25" s="11" t="s">
        <v>29</v>
      </c>
      <c r="G25" s="10" t="s">
        <v>30</v>
      </c>
      <c r="H25" s="10" t="s">
        <v>31</v>
      </c>
      <c r="I25" s="10" t="s">
        <v>105</v>
      </c>
      <c r="J25" s="10" t="s">
        <v>106</v>
      </c>
      <c r="K25" s="10"/>
      <c r="L25" s="12"/>
      <c r="M25" s="13" t="s">
        <v>69</v>
      </c>
    </row>
    <row r="26" customFormat="false" ht="33.75" hidden="false" customHeight="true" outlineLevel="0" collapsed="false">
      <c r="B26" s="9" t="n">
        <v>18</v>
      </c>
      <c r="C26" s="10" t="s">
        <v>65</v>
      </c>
      <c r="D26" s="10" t="s">
        <v>107</v>
      </c>
      <c r="E26" s="10" t="s">
        <v>108</v>
      </c>
      <c r="F26" s="11" t="s">
        <v>29</v>
      </c>
      <c r="G26" s="10" t="s">
        <v>30</v>
      </c>
      <c r="H26" s="10" t="s">
        <v>31</v>
      </c>
      <c r="I26" s="10" t="s">
        <v>109</v>
      </c>
      <c r="J26" s="10" t="s">
        <v>110</v>
      </c>
      <c r="K26" s="10"/>
      <c r="L26" s="12"/>
      <c r="M26" s="13" t="s">
        <v>102</v>
      </c>
    </row>
    <row r="27" customFormat="false" ht="33.75" hidden="false" customHeight="true" outlineLevel="0" collapsed="false">
      <c r="B27" s="9" t="n">
        <v>19</v>
      </c>
      <c r="C27" s="10" t="s">
        <v>111</v>
      </c>
      <c r="D27" s="10" t="s">
        <v>112</v>
      </c>
      <c r="E27" s="10" t="s">
        <v>113</v>
      </c>
      <c r="F27" s="11" t="s">
        <v>29</v>
      </c>
      <c r="G27" s="10" t="s">
        <v>30</v>
      </c>
      <c r="H27" s="10" t="s">
        <v>31</v>
      </c>
      <c r="I27" s="10" t="s">
        <v>114</v>
      </c>
      <c r="J27" s="10" t="s">
        <v>115</v>
      </c>
      <c r="K27" s="10"/>
      <c r="L27" s="12"/>
      <c r="M27" s="13" t="s">
        <v>116</v>
      </c>
    </row>
    <row r="28" customFormat="false" ht="33.75" hidden="false" customHeight="true" outlineLevel="0" collapsed="false">
      <c r="B28" s="9" t="n">
        <v>20</v>
      </c>
      <c r="C28" s="10" t="s">
        <v>111</v>
      </c>
      <c r="D28" s="10" t="s">
        <v>117</v>
      </c>
      <c r="E28" s="10" t="s">
        <v>118</v>
      </c>
      <c r="F28" s="11" t="s">
        <v>29</v>
      </c>
      <c r="G28" s="10" t="s">
        <v>30</v>
      </c>
      <c r="H28" s="10" t="s">
        <v>31</v>
      </c>
      <c r="I28" s="10" t="s">
        <v>114</v>
      </c>
      <c r="J28" s="10" t="s">
        <v>119</v>
      </c>
      <c r="K28" s="10"/>
      <c r="L28" s="12"/>
      <c r="M28" s="13" t="s">
        <v>120</v>
      </c>
    </row>
    <row r="29" customFormat="false" ht="48" hidden="false" customHeight="true" outlineLevel="0" collapsed="false">
      <c r="B29" s="9" t="n">
        <v>21</v>
      </c>
      <c r="C29" s="10" t="s">
        <v>111</v>
      </c>
      <c r="D29" s="10" t="s">
        <v>121</v>
      </c>
      <c r="E29" s="10" t="s">
        <v>122</v>
      </c>
      <c r="F29" s="11" t="s">
        <v>29</v>
      </c>
      <c r="G29" s="10" t="s">
        <v>30</v>
      </c>
      <c r="H29" s="10" t="s">
        <v>31</v>
      </c>
      <c r="I29" s="10" t="s">
        <v>114</v>
      </c>
      <c r="J29" s="10" t="s">
        <v>123</v>
      </c>
      <c r="K29" s="10"/>
      <c r="L29" s="12"/>
      <c r="M29" s="13" t="s">
        <v>124</v>
      </c>
    </row>
    <row r="30" customFormat="false" ht="25.5" hidden="false" customHeight="true" outlineLevel="0" collapsed="false">
      <c r="B30" s="9" t="n">
        <v>22</v>
      </c>
      <c r="C30" s="10" t="s">
        <v>125</v>
      </c>
      <c r="D30" s="10" t="s">
        <v>126</v>
      </c>
      <c r="E30" s="10" t="s">
        <v>59</v>
      </c>
      <c r="F30" s="11" t="s">
        <v>29</v>
      </c>
      <c r="G30" s="10" t="s">
        <v>30</v>
      </c>
      <c r="H30" s="10" t="s">
        <v>31</v>
      </c>
      <c r="I30" s="10" t="s">
        <v>127</v>
      </c>
      <c r="J30" s="10" t="s">
        <v>128</v>
      </c>
      <c r="K30" s="10"/>
      <c r="L30" s="12"/>
      <c r="M30" s="13" t="s">
        <v>129</v>
      </c>
    </row>
    <row r="31" customFormat="false" ht="33.75" hidden="false" customHeight="true" outlineLevel="0" collapsed="false">
      <c r="B31" s="9" t="n">
        <v>23</v>
      </c>
      <c r="C31" s="10" t="s">
        <v>125</v>
      </c>
      <c r="D31" s="10" t="s">
        <v>130</v>
      </c>
      <c r="E31" s="10" t="s">
        <v>131</v>
      </c>
      <c r="F31" s="11" t="s">
        <v>29</v>
      </c>
      <c r="G31" s="10" t="s">
        <v>30</v>
      </c>
      <c r="H31" s="10" t="s">
        <v>31</v>
      </c>
      <c r="I31" s="10" t="s">
        <v>127</v>
      </c>
      <c r="J31" s="10" t="s">
        <v>132</v>
      </c>
      <c r="K31" s="10"/>
      <c r="L31" s="12"/>
      <c r="M31" s="13" t="s">
        <v>129</v>
      </c>
    </row>
    <row r="32" customFormat="false" ht="33.75" hidden="false" customHeight="true" outlineLevel="0" collapsed="false">
      <c r="B32" s="9" t="n">
        <v>24</v>
      </c>
      <c r="C32" s="10" t="s">
        <v>125</v>
      </c>
      <c r="D32" s="10" t="s">
        <v>133</v>
      </c>
      <c r="E32" s="10" t="s">
        <v>134</v>
      </c>
      <c r="F32" s="11" t="s">
        <v>29</v>
      </c>
      <c r="G32" s="10" t="s">
        <v>51</v>
      </c>
      <c r="H32" s="10" t="s">
        <v>31</v>
      </c>
      <c r="I32" s="10" t="s">
        <v>127</v>
      </c>
      <c r="J32" s="10" t="s">
        <v>135</v>
      </c>
      <c r="K32" s="10"/>
      <c r="L32" s="12"/>
      <c r="M32" s="13" t="s">
        <v>129</v>
      </c>
    </row>
    <row r="33" customFormat="false" ht="33.75" hidden="false" customHeight="true" outlineLevel="0" collapsed="false">
      <c r="B33" s="9" t="n">
        <v>25</v>
      </c>
      <c r="C33" s="10" t="s">
        <v>125</v>
      </c>
      <c r="D33" s="10" t="s">
        <v>136</v>
      </c>
      <c r="E33" s="10" t="s">
        <v>137</v>
      </c>
      <c r="F33" s="11" t="s">
        <v>29</v>
      </c>
      <c r="G33" s="10" t="s">
        <v>30</v>
      </c>
      <c r="H33" s="10" t="s">
        <v>31</v>
      </c>
      <c r="I33" s="10" t="s">
        <v>127</v>
      </c>
      <c r="J33" s="10" t="s">
        <v>138</v>
      </c>
      <c r="K33" s="10"/>
      <c r="L33" s="12"/>
      <c r="M33" s="13" t="s">
        <v>129</v>
      </c>
    </row>
    <row r="34" customFormat="false" ht="33.75" hidden="false" customHeight="true" outlineLevel="0" collapsed="false">
      <c r="B34" s="9" t="n">
        <v>26</v>
      </c>
      <c r="C34" s="10" t="s">
        <v>125</v>
      </c>
      <c r="D34" s="10" t="s">
        <v>139</v>
      </c>
      <c r="E34" s="10" t="s">
        <v>140</v>
      </c>
      <c r="F34" s="11" t="s">
        <v>29</v>
      </c>
      <c r="G34" s="10" t="s">
        <v>30</v>
      </c>
      <c r="H34" s="10" t="s">
        <v>31</v>
      </c>
      <c r="I34" s="10" t="s">
        <v>127</v>
      </c>
      <c r="J34" s="10" t="s">
        <v>141</v>
      </c>
      <c r="K34" s="10"/>
      <c r="L34" s="12"/>
      <c r="M34" s="13" t="s">
        <v>142</v>
      </c>
    </row>
    <row r="35" customFormat="false" ht="33.75" hidden="false" customHeight="true" outlineLevel="0" collapsed="false">
      <c r="B35" s="9" t="n">
        <v>27</v>
      </c>
      <c r="C35" s="10" t="s">
        <v>125</v>
      </c>
      <c r="D35" s="10" t="s">
        <v>143</v>
      </c>
      <c r="E35" s="10" t="s">
        <v>144</v>
      </c>
      <c r="F35" s="11" t="s">
        <v>29</v>
      </c>
      <c r="G35" s="10" t="s">
        <v>51</v>
      </c>
      <c r="H35" s="10" t="s">
        <v>31</v>
      </c>
      <c r="I35" s="10" t="s">
        <v>127</v>
      </c>
      <c r="J35" s="10" t="s">
        <v>145</v>
      </c>
      <c r="K35" s="10"/>
      <c r="L35" s="12"/>
      <c r="M35" s="13" t="s">
        <v>142</v>
      </c>
    </row>
    <row r="36" customFormat="false" ht="33.75" hidden="false" customHeight="true" outlineLevel="0" collapsed="false">
      <c r="B36" s="9" t="n">
        <v>28</v>
      </c>
      <c r="C36" s="10" t="s">
        <v>125</v>
      </c>
      <c r="D36" s="10" t="s">
        <v>146</v>
      </c>
      <c r="E36" s="10" t="s">
        <v>147</v>
      </c>
      <c r="F36" s="11" t="s">
        <v>29</v>
      </c>
      <c r="G36" s="10" t="s">
        <v>51</v>
      </c>
      <c r="H36" s="10" t="s">
        <v>31</v>
      </c>
      <c r="I36" s="10" t="s">
        <v>127</v>
      </c>
      <c r="J36" s="10" t="s">
        <v>148</v>
      </c>
      <c r="K36" s="10"/>
      <c r="L36" s="12"/>
      <c r="M36" s="13" t="s">
        <v>149</v>
      </c>
    </row>
    <row r="37" customFormat="false" ht="33.75" hidden="false" customHeight="true" outlineLevel="0" collapsed="false">
      <c r="B37" s="9" t="n">
        <v>29</v>
      </c>
      <c r="C37" s="10" t="s">
        <v>125</v>
      </c>
      <c r="D37" s="10" t="s">
        <v>150</v>
      </c>
      <c r="E37" s="10" t="s">
        <v>151</v>
      </c>
      <c r="F37" s="11" t="s">
        <v>29</v>
      </c>
      <c r="G37" s="10" t="s">
        <v>51</v>
      </c>
      <c r="H37" s="10" t="s">
        <v>31</v>
      </c>
      <c r="I37" s="10" t="s">
        <v>127</v>
      </c>
      <c r="J37" s="10" t="s">
        <v>152</v>
      </c>
      <c r="K37" s="10"/>
      <c r="L37" s="12"/>
      <c r="M37" s="13" t="s">
        <v>153</v>
      </c>
    </row>
    <row r="38" customFormat="false" ht="33.75" hidden="false" customHeight="true" outlineLevel="0" collapsed="false">
      <c r="B38" s="9" t="n">
        <v>30</v>
      </c>
      <c r="C38" s="10" t="s">
        <v>125</v>
      </c>
      <c r="D38" s="10" t="s">
        <v>154</v>
      </c>
      <c r="E38" s="10" t="s">
        <v>155</v>
      </c>
      <c r="F38" s="11" t="s">
        <v>29</v>
      </c>
      <c r="G38" s="10" t="s">
        <v>51</v>
      </c>
      <c r="H38" s="10" t="s">
        <v>31</v>
      </c>
      <c r="I38" s="10" t="s">
        <v>127</v>
      </c>
      <c r="J38" s="10" t="s">
        <v>156</v>
      </c>
      <c r="K38" s="10"/>
      <c r="L38" s="12"/>
      <c r="M38" s="13" t="s">
        <v>157</v>
      </c>
    </row>
    <row r="39" customFormat="false" ht="33.75" hidden="false" customHeight="true" outlineLevel="0" collapsed="false">
      <c r="B39" s="9" t="n">
        <v>31</v>
      </c>
      <c r="C39" s="10" t="s">
        <v>125</v>
      </c>
      <c r="D39" s="10" t="s">
        <v>158</v>
      </c>
      <c r="E39" s="10" t="s">
        <v>159</v>
      </c>
      <c r="F39" s="11" t="s">
        <v>29</v>
      </c>
      <c r="G39" s="10" t="s">
        <v>160</v>
      </c>
      <c r="H39" s="10" t="s">
        <v>31</v>
      </c>
      <c r="I39" s="10" t="s">
        <v>161</v>
      </c>
      <c r="J39" s="10" t="s">
        <v>162</v>
      </c>
      <c r="K39" s="10" t="s">
        <v>163</v>
      </c>
      <c r="L39" s="12"/>
      <c r="M39" s="13" t="s">
        <v>164</v>
      </c>
    </row>
    <row r="40" customFormat="false" ht="25.5" hidden="false" customHeight="true" outlineLevel="0" collapsed="false">
      <c r="B40" s="9" t="n">
        <v>32</v>
      </c>
      <c r="C40" s="10" t="s">
        <v>125</v>
      </c>
      <c r="D40" s="10" t="s">
        <v>165</v>
      </c>
      <c r="E40" s="10" t="s">
        <v>166</v>
      </c>
      <c r="F40" s="11" t="s">
        <v>29</v>
      </c>
      <c r="G40" s="10" t="s">
        <v>30</v>
      </c>
      <c r="H40" s="10" t="s">
        <v>31</v>
      </c>
      <c r="I40" s="10" t="s">
        <v>127</v>
      </c>
      <c r="J40" s="10" t="s">
        <v>167</v>
      </c>
      <c r="K40" s="10"/>
      <c r="L40" s="12"/>
      <c r="M40" s="13" t="s">
        <v>129</v>
      </c>
    </row>
    <row r="41" customFormat="false" ht="33.75" hidden="false" customHeight="true" outlineLevel="0" collapsed="false">
      <c r="B41" s="9" t="n">
        <v>33</v>
      </c>
      <c r="C41" s="10" t="s">
        <v>125</v>
      </c>
      <c r="D41" s="10" t="s">
        <v>168</v>
      </c>
      <c r="E41" s="10" t="s">
        <v>169</v>
      </c>
      <c r="F41" s="11" t="s">
        <v>29</v>
      </c>
      <c r="G41" s="10" t="s">
        <v>87</v>
      </c>
      <c r="H41" s="10" t="s">
        <v>31</v>
      </c>
      <c r="I41" s="10" t="s">
        <v>170</v>
      </c>
      <c r="J41" s="10" t="s">
        <v>171</v>
      </c>
      <c r="K41" s="10"/>
      <c r="L41" s="12"/>
      <c r="M41" s="13" t="s">
        <v>172</v>
      </c>
    </row>
    <row r="42" customFormat="false" ht="33.75" hidden="false" customHeight="true" outlineLevel="0" collapsed="false">
      <c r="B42" s="9" t="n">
        <v>34</v>
      </c>
      <c r="C42" s="10" t="s">
        <v>125</v>
      </c>
      <c r="D42" s="10" t="s">
        <v>173</v>
      </c>
      <c r="E42" s="10" t="s">
        <v>174</v>
      </c>
      <c r="F42" s="11" t="s">
        <v>29</v>
      </c>
      <c r="G42" s="10" t="s">
        <v>175</v>
      </c>
      <c r="H42" s="10" t="s">
        <v>31</v>
      </c>
      <c r="I42" s="10" t="s">
        <v>176</v>
      </c>
      <c r="J42" s="10" t="s">
        <v>177</v>
      </c>
      <c r="K42" s="10"/>
      <c r="L42" s="12"/>
      <c r="M42" s="13" t="s">
        <v>178</v>
      </c>
    </row>
    <row r="43" customFormat="false" ht="33.75" hidden="false" customHeight="true" outlineLevel="0" collapsed="false">
      <c r="B43" s="9" t="n">
        <v>35</v>
      </c>
      <c r="C43" s="10" t="s">
        <v>179</v>
      </c>
      <c r="D43" s="10" t="s">
        <v>180</v>
      </c>
      <c r="E43" s="10" t="s">
        <v>59</v>
      </c>
      <c r="F43" s="11" t="s">
        <v>29</v>
      </c>
      <c r="G43" s="10" t="s">
        <v>181</v>
      </c>
      <c r="H43" s="10" t="s">
        <v>31</v>
      </c>
      <c r="I43" s="10" t="s">
        <v>182</v>
      </c>
      <c r="J43" s="10" t="s">
        <v>183</v>
      </c>
      <c r="K43" s="10"/>
      <c r="L43" s="12"/>
      <c r="M43" s="13" t="s">
        <v>129</v>
      </c>
    </row>
    <row r="44" customFormat="false" ht="33.75" hidden="false" customHeight="true" outlineLevel="0" collapsed="false">
      <c r="B44" s="9" t="n">
        <v>36</v>
      </c>
      <c r="C44" s="10" t="s">
        <v>184</v>
      </c>
      <c r="D44" s="10" t="s">
        <v>185</v>
      </c>
      <c r="E44" s="10" t="s">
        <v>186</v>
      </c>
      <c r="F44" s="11" t="s">
        <v>29</v>
      </c>
      <c r="G44" s="10" t="s">
        <v>30</v>
      </c>
      <c r="H44" s="10" t="s">
        <v>31</v>
      </c>
      <c r="I44" s="10" t="s">
        <v>187</v>
      </c>
      <c r="J44" s="10" t="s">
        <v>188</v>
      </c>
      <c r="K44" s="10"/>
      <c r="L44" s="12"/>
      <c r="M44" s="13" t="s">
        <v>116</v>
      </c>
    </row>
    <row r="45" customFormat="false" ht="33.75" hidden="false" customHeight="true" outlineLevel="0" collapsed="false">
      <c r="B45" s="9" t="n">
        <v>37</v>
      </c>
      <c r="C45" s="10" t="s">
        <v>184</v>
      </c>
      <c r="D45" s="10" t="s">
        <v>189</v>
      </c>
      <c r="E45" s="10" t="s">
        <v>190</v>
      </c>
      <c r="F45" s="11" t="s">
        <v>29</v>
      </c>
      <c r="G45" s="10" t="s">
        <v>30</v>
      </c>
      <c r="H45" s="10" t="s">
        <v>31</v>
      </c>
      <c r="I45" s="10" t="s">
        <v>191</v>
      </c>
      <c r="J45" s="10" t="s">
        <v>192</v>
      </c>
      <c r="K45" s="10"/>
      <c r="L45" s="12"/>
      <c r="M45" s="13" t="s">
        <v>193</v>
      </c>
    </row>
    <row r="46" customFormat="false" ht="33.75" hidden="false" customHeight="true" outlineLevel="0" collapsed="false">
      <c r="B46" s="9" t="n">
        <v>38</v>
      </c>
      <c r="C46" s="10" t="s">
        <v>194</v>
      </c>
      <c r="D46" s="10" t="s">
        <v>195</v>
      </c>
      <c r="E46" s="10" t="s">
        <v>59</v>
      </c>
      <c r="F46" s="11" t="s">
        <v>29</v>
      </c>
      <c r="G46" s="10" t="s">
        <v>175</v>
      </c>
      <c r="H46" s="10" t="s">
        <v>31</v>
      </c>
      <c r="I46" s="10" t="s">
        <v>176</v>
      </c>
      <c r="J46" s="10" t="s">
        <v>196</v>
      </c>
      <c r="K46" s="10"/>
      <c r="L46" s="12"/>
      <c r="M46" s="13" t="s">
        <v>149</v>
      </c>
    </row>
    <row r="47" customFormat="false" ht="33.75" hidden="false" customHeight="true" outlineLevel="0" collapsed="false">
      <c r="B47" s="9" t="n">
        <v>39</v>
      </c>
      <c r="C47" s="10" t="s">
        <v>194</v>
      </c>
      <c r="D47" s="10" t="s">
        <v>197</v>
      </c>
      <c r="E47" s="10" t="s">
        <v>59</v>
      </c>
      <c r="F47" s="11" t="s">
        <v>29</v>
      </c>
      <c r="G47" s="10" t="s">
        <v>175</v>
      </c>
      <c r="H47" s="10" t="s">
        <v>31</v>
      </c>
      <c r="I47" s="10" t="s">
        <v>198</v>
      </c>
      <c r="J47" s="10" t="s">
        <v>199</v>
      </c>
      <c r="K47" s="10"/>
      <c r="L47" s="12"/>
      <c r="M47" s="13" t="s">
        <v>200</v>
      </c>
    </row>
    <row r="48" customFormat="false" ht="61.5" hidden="false" customHeight="true" outlineLevel="0" collapsed="false">
      <c r="B48" s="9" t="n">
        <v>40</v>
      </c>
      <c r="C48" s="10" t="s">
        <v>194</v>
      </c>
      <c r="D48" s="10" t="s">
        <v>201</v>
      </c>
      <c r="E48" s="10" t="s">
        <v>202</v>
      </c>
      <c r="F48" s="11" t="s">
        <v>29</v>
      </c>
      <c r="G48" s="10" t="s">
        <v>203</v>
      </c>
      <c r="H48" s="10" t="s">
        <v>31</v>
      </c>
      <c r="I48" s="10" t="s">
        <v>204</v>
      </c>
      <c r="J48" s="10" t="s">
        <v>205</v>
      </c>
      <c r="K48" s="10"/>
      <c r="L48" s="12"/>
      <c r="M48" s="13" t="s">
        <v>31</v>
      </c>
    </row>
    <row r="49" customFormat="false" ht="33.75" hidden="false" customHeight="true" outlineLevel="0" collapsed="false">
      <c r="B49" s="9" t="n">
        <v>41</v>
      </c>
      <c r="C49" s="10" t="s">
        <v>206</v>
      </c>
      <c r="D49" s="10" t="s">
        <v>207</v>
      </c>
      <c r="E49" s="10" t="s">
        <v>208</v>
      </c>
      <c r="F49" s="11" t="s">
        <v>29</v>
      </c>
      <c r="G49" s="10" t="s">
        <v>209</v>
      </c>
      <c r="H49" s="10" t="s">
        <v>210</v>
      </c>
      <c r="I49" s="10" t="s">
        <v>211</v>
      </c>
      <c r="J49" s="10" t="s">
        <v>212</v>
      </c>
      <c r="K49" s="10"/>
      <c r="L49" s="12"/>
      <c r="M49" s="13" t="s">
        <v>157</v>
      </c>
    </row>
    <row r="50" customFormat="false" ht="33.75" hidden="false" customHeight="true" outlineLevel="0" collapsed="false">
      <c r="B50" s="9" t="n">
        <v>42</v>
      </c>
      <c r="C50" s="10" t="s">
        <v>206</v>
      </c>
      <c r="D50" s="10" t="s">
        <v>213</v>
      </c>
      <c r="E50" s="10" t="s">
        <v>214</v>
      </c>
      <c r="F50" s="11" t="s">
        <v>29</v>
      </c>
      <c r="G50" s="10" t="s">
        <v>175</v>
      </c>
      <c r="H50" s="10" t="s">
        <v>210</v>
      </c>
      <c r="I50" s="10" t="s">
        <v>215</v>
      </c>
      <c r="J50" s="10" t="s">
        <v>216</v>
      </c>
      <c r="K50" s="10"/>
      <c r="L50" s="12"/>
      <c r="M50" s="13" t="s">
        <v>157</v>
      </c>
    </row>
    <row r="51" customFormat="false" ht="33.75" hidden="false" customHeight="true" outlineLevel="0" collapsed="false">
      <c r="B51" s="9" t="n">
        <v>43</v>
      </c>
      <c r="C51" s="10" t="s">
        <v>206</v>
      </c>
      <c r="D51" s="10" t="s">
        <v>217</v>
      </c>
      <c r="E51" s="10" t="s">
        <v>59</v>
      </c>
      <c r="F51" s="11" t="s">
        <v>29</v>
      </c>
      <c r="G51" s="10" t="s">
        <v>218</v>
      </c>
      <c r="H51" s="10" t="s">
        <v>210</v>
      </c>
      <c r="I51" s="10" t="s">
        <v>219</v>
      </c>
      <c r="J51" s="10" t="s">
        <v>220</v>
      </c>
      <c r="K51" s="10"/>
      <c r="L51" s="12"/>
      <c r="M51" s="13" t="s">
        <v>221</v>
      </c>
    </row>
    <row r="52" customFormat="false" ht="33.75" hidden="false" customHeight="true" outlineLevel="0" collapsed="false">
      <c r="B52" s="9" t="n">
        <v>44</v>
      </c>
      <c r="C52" s="10" t="s">
        <v>206</v>
      </c>
      <c r="D52" s="10" t="s">
        <v>222</v>
      </c>
      <c r="E52" s="10" t="s">
        <v>223</v>
      </c>
      <c r="F52" s="11" t="s">
        <v>72</v>
      </c>
      <c r="G52" s="10" t="s">
        <v>209</v>
      </c>
      <c r="H52" s="10" t="s">
        <v>210</v>
      </c>
      <c r="I52" s="10" t="s">
        <v>215</v>
      </c>
      <c r="J52" s="10" t="s">
        <v>224</v>
      </c>
      <c r="K52" s="10" t="s">
        <v>225</v>
      </c>
      <c r="L52" s="12"/>
      <c r="M52" s="13" t="s">
        <v>157</v>
      </c>
    </row>
    <row r="53" customFormat="false" ht="48" hidden="false" customHeight="true" outlineLevel="0" collapsed="false">
      <c r="B53" s="9" t="n">
        <v>45</v>
      </c>
      <c r="C53" s="10" t="s">
        <v>206</v>
      </c>
      <c r="D53" s="10" t="s">
        <v>226</v>
      </c>
      <c r="E53" s="10" t="s">
        <v>59</v>
      </c>
      <c r="F53" s="11" t="s">
        <v>29</v>
      </c>
      <c r="G53" s="10" t="s">
        <v>175</v>
      </c>
      <c r="H53" s="10" t="s">
        <v>31</v>
      </c>
      <c r="I53" s="10" t="s">
        <v>176</v>
      </c>
      <c r="J53" s="10" t="s">
        <v>227</v>
      </c>
      <c r="K53" s="10"/>
      <c r="L53" s="12"/>
      <c r="M53" s="13" t="s">
        <v>228</v>
      </c>
    </row>
    <row r="54" customFormat="false" ht="33.75" hidden="false" customHeight="true" outlineLevel="0" collapsed="false">
      <c r="B54" s="9" t="n">
        <v>46</v>
      </c>
      <c r="C54" s="10" t="s">
        <v>206</v>
      </c>
      <c r="D54" s="10" t="s">
        <v>229</v>
      </c>
      <c r="E54" s="10" t="s">
        <v>59</v>
      </c>
      <c r="F54" s="11" t="s">
        <v>29</v>
      </c>
      <c r="G54" s="10" t="s">
        <v>209</v>
      </c>
      <c r="H54" s="10" t="s">
        <v>210</v>
      </c>
      <c r="I54" s="10" t="s">
        <v>230</v>
      </c>
      <c r="J54" s="10" t="s">
        <v>231</v>
      </c>
      <c r="K54" s="10"/>
      <c r="L54" s="12"/>
      <c r="M54" s="13" t="s">
        <v>193</v>
      </c>
    </row>
    <row r="55" customFormat="false" ht="33.75" hidden="false" customHeight="true" outlineLevel="0" collapsed="false">
      <c r="B55" s="9" t="n">
        <v>47</v>
      </c>
      <c r="C55" s="10" t="s">
        <v>206</v>
      </c>
      <c r="D55" s="10" t="s">
        <v>232</v>
      </c>
      <c r="E55" s="10" t="s">
        <v>59</v>
      </c>
      <c r="F55" s="11" t="s">
        <v>29</v>
      </c>
      <c r="G55" s="10" t="s">
        <v>175</v>
      </c>
      <c r="H55" s="10" t="s">
        <v>210</v>
      </c>
      <c r="I55" s="10" t="s">
        <v>215</v>
      </c>
      <c r="J55" s="10" t="s">
        <v>233</v>
      </c>
      <c r="K55" s="10"/>
      <c r="L55" s="12"/>
      <c r="M55" s="13" t="s">
        <v>234</v>
      </c>
    </row>
    <row r="56" customFormat="false" ht="48" hidden="false" customHeight="true" outlineLevel="0" collapsed="false">
      <c r="B56" s="9" t="n">
        <v>48</v>
      </c>
      <c r="C56" s="10" t="s">
        <v>235</v>
      </c>
      <c r="D56" s="10" t="s">
        <v>236</v>
      </c>
      <c r="E56" s="10" t="s">
        <v>237</v>
      </c>
      <c r="F56" s="11" t="s">
        <v>29</v>
      </c>
      <c r="G56" s="10" t="s">
        <v>238</v>
      </c>
      <c r="H56" s="10" t="s">
        <v>210</v>
      </c>
      <c r="I56" s="10" t="s">
        <v>239</v>
      </c>
      <c r="J56" s="10" t="s">
        <v>240</v>
      </c>
      <c r="K56" s="10"/>
      <c r="L56" s="12"/>
      <c r="M56" s="13" t="s">
        <v>241</v>
      </c>
    </row>
    <row r="57" customFormat="false" ht="33.75" hidden="false" customHeight="true" outlineLevel="0" collapsed="false">
      <c r="B57" s="9" t="n">
        <v>49</v>
      </c>
      <c r="C57" s="10" t="s">
        <v>235</v>
      </c>
      <c r="D57" s="10" t="s">
        <v>242</v>
      </c>
      <c r="E57" s="10" t="s">
        <v>243</v>
      </c>
      <c r="F57" s="11" t="s">
        <v>72</v>
      </c>
      <c r="G57" s="10" t="s">
        <v>209</v>
      </c>
      <c r="H57" s="10" t="s">
        <v>210</v>
      </c>
      <c r="I57" s="10" t="s">
        <v>244</v>
      </c>
      <c r="J57" s="10" t="s">
        <v>245</v>
      </c>
      <c r="K57" s="10" t="s">
        <v>246</v>
      </c>
      <c r="L57" s="12"/>
      <c r="M57" s="13" t="s">
        <v>247</v>
      </c>
    </row>
    <row r="58" customFormat="false" ht="48" hidden="false" customHeight="true" outlineLevel="0" collapsed="false">
      <c r="B58" s="9" t="n">
        <v>50</v>
      </c>
      <c r="C58" s="10" t="s">
        <v>235</v>
      </c>
      <c r="D58" s="10" t="s">
        <v>248</v>
      </c>
      <c r="E58" s="10" t="s">
        <v>249</v>
      </c>
      <c r="F58" s="11" t="s">
        <v>29</v>
      </c>
      <c r="G58" s="10" t="s">
        <v>209</v>
      </c>
      <c r="H58" s="10" t="s">
        <v>210</v>
      </c>
      <c r="I58" s="10" t="s">
        <v>250</v>
      </c>
      <c r="J58" s="10" t="s">
        <v>251</v>
      </c>
      <c r="K58" s="10"/>
      <c r="L58" s="12"/>
      <c r="M58" s="13" t="s">
        <v>252</v>
      </c>
    </row>
    <row r="59" customFormat="false" ht="48" hidden="false" customHeight="true" outlineLevel="0" collapsed="false">
      <c r="B59" s="9" t="n">
        <v>51</v>
      </c>
      <c r="C59" s="10" t="s">
        <v>235</v>
      </c>
      <c r="D59" s="10" t="s">
        <v>253</v>
      </c>
      <c r="E59" s="10" t="s">
        <v>254</v>
      </c>
      <c r="F59" s="11" t="s">
        <v>29</v>
      </c>
      <c r="G59" s="10" t="s">
        <v>175</v>
      </c>
      <c r="H59" s="10" t="s">
        <v>31</v>
      </c>
      <c r="I59" s="10" t="s">
        <v>176</v>
      </c>
      <c r="J59" s="10" t="s">
        <v>255</v>
      </c>
      <c r="K59" s="10"/>
      <c r="L59" s="12"/>
      <c r="M59" s="13" t="s">
        <v>256</v>
      </c>
    </row>
    <row r="60" customFormat="false" ht="33.75" hidden="false" customHeight="true" outlineLevel="0" collapsed="false">
      <c r="B60" s="9" t="n">
        <v>52</v>
      </c>
      <c r="C60" s="10" t="s">
        <v>235</v>
      </c>
      <c r="D60" s="10" t="s">
        <v>257</v>
      </c>
      <c r="E60" s="10" t="s">
        <v>59</v>
      </c>
      <c r="F60" s="11" t="s">
        <v>29</v>
      </c>
      <c r="G60" s="10" t="s">
        <v>175</v>
      </c>
      <c r="H60" s="10" t="s">
        <v>210</v>
      </c>
      <c r="I60" s="10" t="s">
        <v>258</v>
      </c>
      <c r="J60" s="10" t="s">
        <v>259</v>
      </c>
      <c r="K60" s="10"/>
      <c r="L60" s="12"/>
      <c r="M60" s="13" t="s">
        <v>252</v>
      </c>
    </row>
    <row r="61" customFormat="false" ht="33.75" hidden="false" customHeight="true" outlineLevel="0" collapsed="false">
      <c r="B61" s="9" t="n">
        <v>53</v>
      </c>
      <c r="C61" s="10" t="s">
        <v>235</v>
      </c>
      <c r="D61" s="10" t="s">
        <v>260</v>
      </c>
      <c r="E61" s="10" t="s">
        <v>59</v>
      </c>
      <c r="F61" s="11" t="s">
        <v>29</v>
      </c>
      <c r="G61" s="10" t="s">
        <v>238</v>
      </c>
      <c r="H61" s="10" t="s">
        <v>210</v>
      </c>
      <c r="I61" s="10" t="s">
        <v>261</v>
      </c>
      <c r="J61" s="10" t="s">
        <v>262</v>
      </c>
      <c r="K61" s="10"/>
      <c r="L61" s="12"/>
      <c r="M61" s="13"/>
    </row>
    <row r="62" customFormat="false" ht="48" hidden="false" customHeight="true" outlineLevel="0" collapsed="false">
      <c r="B62" s="9" t="n">
        <v>54</v>
      </c>
      <c r="C62" s="10" t="s">
        <v>235</v>
      </c>
      <c r="D62" s="10" t="s">
        <v>263</v>
      </c>
      <c r="E62" s="10" t="s">
        <v>264</v>
      </c>
      <c r="F62" s="11" t="s">
        <v>72</v>
      </c>
      <c r="G62" s="10" t="s">
        <v>209</v>
      </c>
      <c r="H62" s="10" t="s">
        <v>210</v>
      </c>
      <c r="I62" s="10" t="s">
        <v>244</v>
      </c>
      <c r="J62" s="10" t="s">
        <v>265</v>
      </c>
      <c r="K62" s="10" t="s">
        <v>266</v>
      </c>
      <c r="L62" s="12"/>
      <c r="M62" s="13" t="s">
        <v>256</v>
      </c>
    </row>
    <row r="63" customFormat="false" ht="48" hidden="false" customHeight="true" outlineLevel="0" collapsed="false">
      <c r="B63" s="9" t="n">
        <v>55</v>
      </c>
      <c r="C63" s="10" t="s">
        <v>267</v>
      </c>
      <c r="D63" s="10" t="s">
        <v>268</v>
      </c>
      <c r="E63" s="10" t="s">
        <v>269</v>
      </c>
      <c r="F63" s="11" t="s">
        <v>29</v>
      </c>
      <c r="G63" s="10" t="s">
        <v>209</v>
      </c>
      <c r="H63" s="10" t="s">
        <v>210</v>
      </c>
      <c r="I63" s="10" t="s">
        <v>270</v>
      </c>
      <c r="J63" s="10" t="s">
        <v>271</v>
      </c>
      <c r="K63" s="10"/>
      <c r="L63" s="12"/>
      <c r="M63" s="13" t="s">
        <v>272</v>
      </c>
    </row>
    <row r="64" customFormat="false" ht="48" hidden="false" customHeight="true" outlineLevel="0" collapsed="false">
      <c r="B64" s="9" t="n">
        <v>56</v>
      </c>
      <c r="C64" s="10" t="s">
        <v>273</v>
      </c>
      <c r="D64" s="10" t="s">
        <v>274</v>
      </c>
      <c r="E64" s="10" t="s">
        <v>59</v>
      </c>
      <c r="F64" s="11" t="s">
        <v>29</v>
      </c>
      <c r="G64" s="10" t="s">
        <v>175</v>
      </c>
      <c r="H64" s="10" t="s">
        <v>31</v>
      </c>
      <c r="I64" s="10" t="s">
        <v>176</v>
      </c>
      <c r="J64" s="10" t="s">
        <v>275</v>
      </c>
      <c r="K64" s="10" t="s">
        <v>276</v>
      </c>
      <c r="L64" s="12"/>
      <c r="M64" s="13" t="s">
        <v>277</v>
      </c>
    </row>
    <row r="65" customFormat="false" ht="25.5" hidden="false" customHeight="true" outlineLevel="0" collapsed="false">
      <c r="B65" s="9" t="n">
        <v>57</v>
      </c>
      <c r="C65" s="10" t="s">
        <v>273</v>
      </c>
      <c r="D65" s="10" t="s">
        <v>278</v>
      </c>
      <c r="E65" s="10" t="s">
        <v>59</v>
      </c>
      <c r="F65" s="11" t="s">
        <v>29</v>
      </c>
      <c r="G65" s="10" t="s">
        <v>175</v>
      </c>
      <c r="H65" s="10" t="s">
        <v>31</v>
      </c>
      <c r="I65" s="10" t="s">
        <v>176</v>
      </c>
      <c r="J65" s="10" t="s">
        <v>279</v>
      </c>
      <c r="K65" s="10"/>
      <c r="L65" s="12"/>
      <c r="M65" s="13" t="s">
        <v>272</v>
      </c>
    </row>
    <row r="66" customFormat="false" ht="61.5" hidden="false" customHeight="true" outlineLevel="0" collapsed="false">
      <c r="B66" s="9" t="n">
        <v>58</v>
      </c>
      <c r="C66" s="10" t="s">
        <v>280</v>
      </c>
      <c r="D66" s="10" t="s">
        <v>281</v>
      </c>
      <c r="E66" s="10" t="s">
        <v>282</v>
      </c>
      <c r="F66" s="11" t="s">
        <v>29</v>
      </c>
      <c r="G66" s="10" t="s">
        <v>181</v>
      </c>
      <c r="H66" s="10" t="s">
        <v>210</v>
      </c>
      <c r="I66" s="10" t="s">
        <v>270</v>
      </c>
      <c r="J66" s="10" t="s">
        <v>283</v>
      </c>
      <c r="K66" s="10"/>
      <c r="L66" s="12"/>
      <c r="M66" s="13" t="s">
        <v>272</v>
      </c>
    </row>
    <row r="67" customFormat="false" ht="61.5" hidden="false" customHeight="true" outlineLevel="0" collapsed="false">
      <c r="B67" s="9" t="n">
        <v>59</v>
      </c>
      <c r="C67" s="10" t="s">
        <v>280</v>
      </c>
      <c r="D67" s="10" t="s">
        <v>284</v>
      </c>
      <c r="E67" s="10" t="s">
        <v>285</v>
      </c>
      <c r="F67" s="11" t="s">
        <v>29</v>
      </c>
      <c r="G67" s="10" t="s">
        <v>209</v>
      </c>
      <c r="H67" s="10" t="s">
        <v>210</v>
      </c>
      <c r="I67" s="10" t="s">
        <v>286</v>
      </c>
      <c r="J67" s="10" t="s">
        <v>287</v>
      </c>
      <c r="K67" s="10" t="s">
        <v>288</v>
      </c>
      <c r="L67" s="12"/>
      <c r="M67" s="13" t="s">
        <v>272</v>
      </c>
    </row>
    <row r="68" customFormat="false" ht="33.75" hidden="false" customHeight="true" outlineLevel="0" collapsed="false">
      <c r="B68" s="9" t="n">
        <v>60</v>
      </c>
      <c r="C68" s="10" t="s">
        <v>289</v>
      </c>
      <c r="D68" s="10" t="s">
        <v>290</v>
      </c>
      <c r="E68" s="10" t="s">
        <v>59</v>
      </c>
      <c r="F68" s="11" t="s">
        <v>29</v>
      </c>
      <c r="G68" s="10" t="s">
        <v>175</v>
      </c>
      <c r="H68" s="10" t="s">
        <v>210</v>
      </c>
      <c r="I68" s="10" t="s">
        <v>291</v>
      </c>
      <c r="J68" s="10" t="s">
        <v>292</v>
      </c>
      <c r="K68" s="10"/>
      <c r="L68" s="12"/>
      <c r="M68" s="13" t="s">
        <v>293</v>
      </c>
    </row>
    <row r="69" customFormat="false" ht="33.75" hidden="false" customHeight="true" outlineLevel="0" collapsed="false">
      <c r="B69" s="9" t="n">
        <v>61</v>
      </c>
      <c r="C69" s="10" t="s">
        <v>289</v>
      </c>
      <c r="D69" s="10" t="s">
        <v>294</v>
      </c>
      <c r="E69" s="10" t="s">
        <v>295</v>
      </c>
      <c r="F69" s="11" t="s">
        <v>29</v>
      </c>
      <c r="G69" s="10" t="s">
        <v>181</v>
      </c>
      <c r="H69" s="10" t="s">
        <v>210</v>
      </c>
      <c r="I69" s="10" t="s">
        <v>296</v>
      </c>
      <c r="J69" s="10" t="s">
        <v>297</v>
      </c>
      <c r="K69" s="10"/>
      <c r="L69" s="12"/>
      <c r="M69" s="13" t="s">
        <v>293</v>
      </c>
    </row>
    <row r="70" customFormat="false" ht="33.75" hidden="false" customHeight="true" outlineLevel="0" collapsed="false">
      <c r="B70" s="9" t="n">
        <v>62</v>
      </c>
      <c r="C70" s="10" t="s">
        <v>289</v>
      </c>
      <c r="D70" s="10" t="s">
        <v>298</v>
      </c>
      <c r="E70" s="10" t="s">
        <v>299</v>
      </c>
      <c r="F70" s="11" t="s">
        <v>300</v>
      </c>
      <c r="G70" s="10" t="s">
        <v>175</v>
      </c>
      <c r="H70" s="10" t="s">
        <v>210</v>
      </c>
      <c r="I70" s="10" t="s">
        <v>31</v>
      </c>
      <c r="J70" s="10" t="s">
        <v>31</v>
      </c>
      <c r="K70" s="10" t="s">
        <v>301</v>
      </c>
      <c r="L70" s="12"/>
      <c r="M70" s="13" t="s">
        <v>31</v>
      </c>
    </row>
    <row r="71" customFormat="false" ht="48" hidden="false" customHeight="true" outlineLevel="0" collapsed="false">
      <c r="B71" s="9" t="n">
        <v>63</v>
      </c>
      <c r="C71" s="10" t="s">
        <v>302</v>
      </c>
      <c r="D71" s="10" t="s">
        <v>303</v>
      </c>
      <c r="E71" s="10" t="s">
        <v>59</v>
      </c>
      <c r="F71" s="11" t="s">
        <v>29</v>
      </c>
      <c r="G71" s="10" t="s">
        <v>30</v>
      </c>
      <c r="H71" s="10" t="s">
        <v>31</v>
      </c>
      <c r="I71" s="10" t="s">
        <v>304</v>
      </c>
      <c r="J71" s="10" t="s">
        <v>305</v>
      </c>
      <c r="K71" s="10"/>
      <c r="L71" s="12"/>
      <c r="M71" s="13" t="s">
        <v>306</v>
      </c>
    </row>
    <row r="72" customFormat="false" ht="48" hidden="false" customHeight="true" outlineLevel="0" collapsed="false">
      <c r="B72" s="9" t="n">
        <v>64</v>
      </c>
      <c r="C72" s="10" t="s">
        <v>302</v>
      </c>
      <c r="D72" s="10" t="s">
        <v>307</v>
      </c>
      <c r="E72" s="10" t="s">
        <v>59</v>
      </c>
      <c r="F72" s="11" t="s">
        <v>29</v>
      </c>
      <c r="G72" s="10" t="s">
        <v>30</v>
      </c>
      <c r="H72" s="10" t="s">
        <v>31</v>
      </c>
      <c r="I72" s="10" t="s">
        <v>304</v>
      </c>
      <c r="J72" s="10" t="s">
        <v>308</v>
      </c>
      <c r="K72" s="10"/>
      <c r="L72" s="12"/>
      <c r="M72" s="13" t="s">
        <v>306</v>
      </c>
    </row>
    <row r="73" customFormat="false" ht="33.75" hidden="false" customHeight="true" outlineLevel="0" collapsed="false">
      <c r="B73" s="9" t="n">
        <v>65</v>
      </c>
      <c r="C73" s="10" t="s">
        <v>309</v>
      </c>
      <c r="D73" s="10" t="s">
        <v>310</v>
      </c>
      <c r="E73" s="10" t="s">
        <v>59</v>
      </c>
      <c r="F73" s="11" t="s">
        <v>29</v>
      </c>
      <c r="G73" s="10" t="s">
        <v>30</v>
      </c>
      <c r="H73" s="10" t="s">
        <v>31</v>
      </c>
      <c r="I73" s="10" t="s">
        <v>311</v>
      </c>
      <c r="J73" s="10" t="s">
        <v>115</v>
      </c>
      <c r="K73" s="10"/>
      <c r="L73" s="12"/>
      <c r="M73" s="13" t="s">
        <v>312</v>
      </c>
    </row>
    <row r="74" customFormat="false" ht="33.75" hidden="false" customHeight="true" outlineLevel="0" collapsed="false">
      <c r="B74" s="9" t="n">
        <v>66</v>
      </c>
      <c r="C74" s="10" t="s">
        <v>309</v>
      </c>
      <c r="D74" s="10" t="s">
        <v>313</v>
      </c>
      <c r="E74" s="10" t="s">
        <v>314</v>
      </c>
      <c r="F74" s="11" t="s">
        <v>29</v>
      </c>
      <c r="G74" s="10" t="s">
        <v>30</v>
      </c>
      <c r="H74" s="10" t="s">
        <v>31</v>
      </c>
      <c r="I74" s="10" t="s">
        <v>311</v>
      </c>
      <c r="J74" s="10" t="s">
        <v>315</v>
      </c>
      <c r="K74" s="10"/>
      <c r="L74" s="12"/>
      <c r="M74" s="13" t="s">
        <v>306</v>
      </c>
    </row>
    <row r="75" customFormat="false" ht="25.5" hidden="false" customHeight="true" outlineLevel="0" collapsed="false">
      <c r="B75" s="9" t="n">
        <v>67</v>
      </c>
      <c r="C75" s="10" t="s">
        <v>309</v>
      </c>
      <c r="D75" s="10" t="s">
        <v>316</v>
      </c>
      <c r="E75" s="10" t="s">
        <v>59</v>
      </c>
      <c r="F75" s="11" t="s">
        <v>29</v>
      </c>
      <c r="G75" s="10" t="s">
        <v>30</v>
      </c>
      <c r="H75" s="10" t="s">
        <v>31</v>
      </c>
      <c r="I75" s="10" t="s">
        <v>317</v>
      </c>
      <c r="J75" s="10" t="s">
        <v>318</v>
      </c>
      <c r="K75" s="10"/>
      <c r="L75" s="12"/>
      <c r="M75" s="13" t="s">
        <v>306</v>
      </c>
    </row>
    <row r="76" customFormat="false" ht="33.75" hidden="false" customHeight="true" outlineLevel="0" collapsed="false">
      <c r="B76" s="9" t="n">
        <v>68</v>
      </c>
      <c r="C76" s="10" t="s">
        <v>309</v>
      </c>
      <c r="D76" s="10" t="s">
        <v>319</v>
      </c>
      <c r="E76" s="10" t="s">
        <v>59</v>
      </c>
      <c r="F76" s="11" t="s">
        <v>29</v>
      </c>
      <c r="G76" s="10" t="s">
        <v>51</v>
      </c>
      <c r="H76" s="10" t="s">
        <v>31</v>
      </c>
      <c r="I76" s="10" t="s">
        <v>311</v>
      </c>
      <c r="J76" s="10" t="s">
        <v>320</v>
      </c>
      <c r="K76" s="10"/>
      <c r="L76" s="12"/>
      <c r="M76" s="13" t="s">
        <v>321</v>
      </c>
    </row>
    <row r="77" customFormat="false" ht="33.75" hidden="false" customHeight="true" outlineLevel="0" collapsed="false">
      <c r="B77" s="9" t="n">
        <v>69</v>
      </c>
      <c r="C77" s="10" t="s">
        <v>322</v>
      </c>
      <c r="D77" s="10" t="s">
        <v>323</v>
      </c>
      <c r="E77" s="10" t="s">
        <v>324</v>
      </c>
      <c r="F77" s="11" t="s">
        <v>29</v>
      </c>
      <c r="G77" s="10" t="s">
        <v>51</v>
      </c>
      <c r="H77" s="10" t="s">
        <v>31</v>
      </c>
      <c r="I77" s="10" t="s">
        <v>325</v>
      </c>
      <c r="J77" s="10" t="s">
        <v>326</v>
      </c>
      <c r="K77" s="10"/>
      <c r="L77" s="12"/>
      <c r="M77" s="13" t="s">
        <v>327</v>
      </c>
    </row>
    <row r="78" customFormat="false" ht="33.75" hidden="false" customHeight="true" outlineLevel="0" collapsed="false">
      <c r="B78" s="9" t="n">
        <v>70</v>
      </c>
      <c r="C78" s="10" t="s">
        <v>322</v>
      </c>
      <c r="D78" s="10" t="s">
        <v>328</v>
      </c>
      <c r="E78" s="10" t="s">
        <v>329</v>
      </c>
      <c r="F78" s="11" t="s">
        <v>29</v>
      </c>
      <c r="G78" s="10" t="s">
        <v>30</v>
      </c>
      <c r="H78" s="10" t="s">
        <v>31</v>
      </c>
      <c r="I78" s="10" t="s">
        <v>322</v>
      </c>
      <c r="J78" s="10" t="s">
        <v>115</v>
      </c>
      <c r="K78" s="10"/>
      <c r="L78" s="12"/>
      <c r="M78" s="13" t="s">
        <v>327</v>
      </c>
    </row>
    <row r="79" customFormat="false" ht="33.75" hidden="false" customHeight="true" outlineLevel="0" collapsed="false">
      <c r="B79" s="9" t="n">
        <v>71</v>
      </c>
      <c r="C79" s="10" t="s">
        <v>322</v>
      </c>
      <c r="D79" s="10" t="s">
        <v>330</v>
      </c>
      <c r="E79" s="10" t="s">
        <v>331</v>
      </c>
      <c r="F79" s="11" t="s">
        <v>29</v>
      </c>
      <c r="G79" s="10" t="s">
        <v>51</v>
      </c>
      <c r="H79" s="10" t="s">
        <v>31</v>
      </c>
      <c r="I79" s="10" t="s">
        <v>322</v>
      </c>
      <c r="J79" s="10" t="s">
        <v>332</v>
      </c>
      <c r="K79" s="10"/>
      <c r="L79" s="12"/>
      <c r="M79" s="13" t="s">
        <v>327</v>
      </c>
    </row>
    <row r="80" customFormat="false" ht="48" hidden="false" customHeight="true" outlineLevel="0" collapsed="false">
      <c r="B80" s="9" t="n">
        <v>72</v>
      </c>
      <c r="C80" s="10" t="s">
        <v>322</v>
      </c>
      <c r="D80" s="10" t="s">
        <v>333</v>
      </c>
      <c r="E80" s="10" t="s">
        <v>334</v>
      </c>
      <c r="F80" s="11" t="s">
        <v>29</v>
      </c>
      <c r="G80" s="10" t="s">
        <v>51</v>
      </c>
      <c r="H80" s="10" t="s">
        <v>31</v>
      </c>
      <c r="I80" s="10" t="s">
        <v>335</v>
      </c>
      <c r="J80" s="10" t="s">
        <v>336</v>
      </c>
      <c r="K80" s="10"/>
      <c r="L80" s="12"/>
      <c r="M80" s="13" t="s">
        <v>337</v>
      </c>
    </row>
    <row r="81" customFormat="false" ht="33.75" hidden="false" customHeight="true" outlineLevel="0" collapsed="false">
      <c r="B81" s="9" t="n">
        <v>73</v>
      </c>
      <c r="C81" s="10" t="s">
        <v>322</v>
      </c>
      <c r="D81" s="10" t="s">
        <v>338</v>
      </c>
      <c r="E81" s="10" t="s">
        <v>339</v>
      </c>
      <c r="F81" s="11" t="s">
        <v>29</v>
      </c>
      <c r="G81" s="10" t="s">
        <v>30</v>
      </c>
      <c r="H81" s="10" t="s">
        <v>31</v>
      </c>
      <c r="I81" s="10" t="s">
        <v>322</v>
      </c>
      <c r="J81" s="10" t="s">
        <v>340</v>
      </c>
      <c r="K81" s="10"/>
      <c r="L81" s="12"/>
      <c r="M81" s="13" t="s">
        <v>327</v>
      </c>
    </row>
    <row r="82" customFormat="false" ht="48" hidden="false" customHeight="true" outlineLevel="0" collapsed="false">
      <c r="B82" s="9" t="n">
        <v>74</v>
      </c>
      <c r="C82" s="10" t="s">
        <v>322</v>
      </c>
      <c r="D82" s="10" t="s">
        <v>341</v>
      </c>
      <c r="E82" s="10" t="s">
        <v>342</v>
      </c>
      <c r="F82" s="11" t="s">
        <v>29</v>
      </c>
      <c r="G82" s="10" t="s">
        <v>87</v>
      </c>
      <c r="H82" s="10" t="s">
        <v>31</v>
      </c>
      <c r="I82" s="10" t="s">
        <v>343</v>
      </c>
      <c r="J82" s="10" t="s">
        <v>344</v>
      </c>
      <c r="K82" s="10"/>
      <c r="L82" s="12"/>
      <c r="M82" s="13" t="s">
        <v>327</v>
      </c>
    </row>
    <row r="83" customFormat="false" ht="33.75" hidden="false" customHeight="true" outlineLevel="0" collapsed="false">
      <c r="B83" s="9" t="n">
        <v>75</v>
      </c>
      <c r="C83" s="10" t="s">
        <v>322</v>
      </c>
      <c r="D83" s="10" t="s">
        <v>345</v>
      </c>
      <c r="E83" s="10" t="s">
        <v>346</v>
      </c>
      <c r="F83" s="11" t="s">
        <v>29</v>
      </c>
      <c r="G83" s="10" t="s">
        <v>30</v>
      </c>
      <c r="H83" s="10" t="s">
        <v>31</v>
      </c>
      <c r="I83" s="10" t="s">
        <v>347</v>
      </c>
      <c r="J83" s="10" t="s">
        <v>348</v>
      </c>
      <c r="K83" s="10"/>
      <c r="L83" s="12"/>
      <c r="M83" s="13" t="s">
        <v>327</v>
      </c>
    </row>
    <row r="84" customFormat="false" ht="33.75" hidden="false" customHeight="true" outlineLevel="0" collapsed="false">
      <c r="B84" s="9" t="n">
        <v>76</v>
      </c>
      <c r="C84" s="10" t="s">
        <v>349</v>
      </c>
      <c r="D84" s="10" t="s">
        <v>350</v>
      </c>
      <c r="E84" s="10" t="s">
        <v>59</v>
      </c>
      <c r="F84" s="11" t="s">
        <v>29</v>
      </c>
      <c r="G84" s="10" t="s">
        <v>30</v>
      </c>
      <c r="H84" s="10" t="s">
        <v>31</v>
      </c>
      <c r="I84" s="10" t="s">
        <v>351</v>
      </c>
      <c r="J84" s="10" t="s">
        <v>352</v>
      </c>
      <c r="K84" s="10"/>
      <c r="L84" s="12"/>
      <c r="M84" s="13" t="s">
        <v>353</v>
      </c>
    </row>
    <row r="85" customFormat="false" ht="25.5" hidden="false" customHeight="true" outlineLevel="0" collapsed="false">
      <c r="B85" s="9" t="n">
        <v>77</v>
      </c>
      <c r="C85" s="10" t="s">
        <v>349</v>
      </c>
      <c r="D85" s="10" t="s">
        <v>354</v>
      </c>
      <c r="E85" s="10" t="s">
        <v>355</v>
      </c>
      <c r="F85" s="11" t="s">
        <v>72</v>
      </c>
      <c r="G85" s="10" t="s">
        <v>30</v>
      </c>
      <c r="H85" s="10" t="s">
        <v>31</v>
      </c>
      <c r="I85" s="10" t="s">
        <v>356</v>
      </c>
      <c r="J85" s="10" t="s">
        <v>357</v>
      </c>
      <c r="K85" s="10" t="s">
        <v>358</v>
      </c>
      <c r="L85" s="12"/>
      <c r="M85" s="13" t="s">
        <v>353</v>
      </c>
    </row>
    <row r="86" customFormat="false" ht="33.75" hidden="false" customHeight="true" outlineLevel="0" collapsed="false">
      <c r="B86" s="9" t="n">
        <v>78</v>
      </c>
      <c r="C86" s="10" t="s">
        <v>349</v>
      </c>
      <c r="D86" s="10" t="s">
        <v>359</v>
      </c>
      <c r="E86" s="10" t="s">
        <v>360</v>
      </c>
      <c r="F86" s="11" t="s">
        <v>86</v>
      </c>
      <c r="G86" s="10" t="s">
        <v>87</v>
      </c>
      <c r="H86" s="10" t="s">
        <v>31</v>
      </c>
      <c r="I86" s="10" t="s">
        <v>31</v>
      </c>
      <c r="J86" s="10" t="s">
        <v>31</v>
      </c>
      <c r="K86" s="10" t="s">
        <v>361</v>
      </c>
      <c r="L86" s="12"/>
      <c r="M86" s="13" t="s">
        <v>353</v>
      </c>
    </row>
    <row r="87" customFormat="false" ht="25.5" hidden="false" customHeight="true" outlineLevel="0" collapsed="false">
      <c r="B87" s="9" t="n">
        <v>79</v>
      </c>
      <c r="C87" s="10" t="s">
        <v>349</v>
      </c>
      <c r="D87" s="10" t="s">
        <v>362</v>
      </c>
      <c r="E87" s="10" t="s">
        <v>31</v>
      </c>
      <c r="F87" s="11" t="s">
        <v>86</v>
      </c>
      <c r="G87" s="10" t="s">
        <v>30</v>
      </c>
      <c r="H87" s="10" t="s">
        <v>31</v>
      </c>
      <c r="I87" s="10" t="s">
        <v>31</v>
      </c>
      <c r="J87" s="10" t="s">
        <v>31</v>
      </c>
      <c r="K87" s="10" t="s">
        <v>363</v>
      </c>
      <c r="L87" s="12"/>
      <c r="M87" s="13" t="s">
        <v>353</v>
      </c>
    </row>
    <row r="88" customFormat="false" ht="33.75" hidden="false" customHeight="true" outlineLevel="0" collapsed="false">
      <c r="B88" s="9" t="n">
        <v>80</v>
      </c>
      <c r="C88" s="10" t="s">
        <v>364</v>
      </c>
      <c r="D88" s="10" t="s">
        <v>365</v>
      </c>
      <c r="E88" s="10" t="s">
        <v>366</v>
      </c>
      <c r="F88" s="11" t="s">
        <v>29</v>
      </c>
      <c r="G88" s="10" t="s">
        <v>238</v>
      </c>
      <c r="H88" s="10" t="s">
        <v>210</v>
      </c>
      <c r="I88" s="10" t="s">
        <v>258</v>
      </c>
      <c r="J88" s="10" t="s">
        <v>367</v>
      </c>
      <c r="K88" s="10"/>
      <c r="L88" s="12"/>
      <c r="M88" s="13" t="s">
        <v>353</v>
      </c>
    </row>
    <row r="89" customFormat="false" ht="33.75" hidden="false" customHeight="true" outlineLevel="0" collapsed="false">
      <c r="B89" s="9" t="n">
        <v>81</v>
      </c>
      <c r="C89" s="10" t="s">
        <v>364</v>
      </c>
      <c r="D89" s="10" t="s">
        <v>368</v>
      </c>
      <c r="E89" s="10" t="s">
        <v>31</v>
      </c>
      <c r="F89" s="11" t="s">
        <v>86</v>
      </c>
      <c r="G89" s="10" t="s">
        <v>238</v>
      </c>
      <c r="H89" s="10" t="s">
        <v>210</v>
      </c>
      <c r="I89" s="10" t="s">
        <v>31</v>
      </c>
      <c r="J89" s="10" t="s">
        <v>31</v>
      </c>
      <c r="K89" s="10" t="s">
        <v>369</v>
      </c>
      <c r="L89" s="12"/>
      <c r="M89" s="13" t="s">
        <v>353</v>
      </c>
    </row>
    <row r="90" customFormat="false" ht="48" hidden="false" customHeight="true" outlineLevel="0" collapsed="false">
      <c r="B90" s="9" t="n">
        <v>82</v>
      </c>
      <c r="C90" s="10" t="s">
        <v>364</v>
      </c>
      <c r="D90" s="10" t="s">
        <v>370</v>
      </c>
      <c r="E90" s="10" t="s">
        <v>59</v>
      </c>
      <c r="F90" s="11" t="s">
        <v>29</v>
      </c>
      <c r="G90" s="10" t="s">
        <v>175</v>
      </c>
      <c r="H90" s="10" t="s">
        <v>31</v>
      </c>
      <c r="I90" s="10" t="s">
        <v>176</v>
      </c>
      <c r="J90" s="10" t="s">
        <v>255</v>
      </c>
      <c r="K90" s="10"/>
      <c r="L90" s="12"/>
      <c r="M90" s="13" t="s">
        <v>371</v>
      </c>
    </row>
    <row r="91" customFormat="false" ht="48" hidden="false" customHeight="true" outlineLevel="0" collapsed="false">
      <c r="B91" s="9" t="n">
        <v>83</v>
      </c>
      <c r="C91" s="10" t="s">
        <v>372</v>
      </c>
      <c r="D91" s="10" t="s">
        <v>373</v>
      </c>
      <c r="E91" s="10" t="s">
        <v>59</v>
      </c>
      <c r="F91" s="11" t="s">
        <v>29</v>
      </c>
      <c r="G91" s="10" t="s">
        <v>209</v>
      </c>
      <c r="H91" s="10" t="s">
        <v>210</v>
      </c>
      <c r="I91" s="10" t="s">
        <v>374</v>
      </c>
      <c r="J91" s="10" t="s">
        <v>375</v>
      </c>
      <c r="K91" s="10"/>
      <c r="L91" s="12"/>
      <c r="M91" s="13" t="s">
        <v>376</v>
      </c>
    </row>
    <row r="92" customFormat="false" ht="33.75" hidden="false" customHeight="true" outlineLevel="0" collapsed="false">
      <c r="B92" s="9" t="n">
        <v>84</v>
      </c>
      <c r="C92" s="10" t="s">
        <v>372</v>
      </c>
      <c r="D92" s="10" t="s">
        <v>377</v>
      </c>
      <c r="E92" s="10" t="s">
        <v>378</v>
      </c>
      <c r="F92" s="11" t="s">
        <v>300</v>
      </c>
      <c r="G92" s="10" t="s">
        <v>175</v>
      </c>
      <c r="H92" s="10" t="s">
        <v>210</v>
      </c>
      <c r="I92" s="10" t="s">
        <v>31</v>
      </c>
      <c r="J92" s="10" t="s">
        <v>31</v>
      </c>
      <c r="K92" s="10" t="s">
        <v>379</v>
      </c>
      <c r="L92" s="12"/>
      <c r="M92" s="13" t="s">
        <v>376</v>
      </c>
    </row>
    <row r="93" customFormat="false" ht="33.75" hidden="false" customHeight="true" outlineLevel="0" collapsed="false">
      <c r="B93" s="9" t="n">
        <v>85</v>
      </c>
      <c r="C93" s="10" t="s">
        <v>372</v>
      </c>
      <c r="D93" s="10" t="s">
        <v>380</v>
      </c>
      <c r="E93" s="10" t="s">
        <v>381</v>
      </c>
      <c r="F93" s="11" t="s">
        <v>72</v>
      </c>
      <c r="G93" s="10" t="s">
        <v>209</v>
      </c>
      <c r="H93" s="10" t="s">
        <v>210</v>
      </c>
      <c r="I93" s="10" t="s">
        <v>374</v>
      </c>
      <c r="J93" s="10" t="s">
        <v>375</v>
      </c>
      <c r="K93" s="10" t="s">
        <v>382</v>
      </c>
      <c r="L93" s="12"/>
      <c r="M93" s="13" t="s">
        <v>376</v>
      </c>
    </row>
    <row r="94" customFormat="false" ht="48" hidden="false" customHeight="true" outlineLevel="0" collapsed="false">
      <c r="B94" s="9" t="n">
        <v>86</v>
      </c>
      <c r="C94" s="10" t="s">
        <v>383</v>
      </c>
      <c r="D94" s="10" t="s">
        <v>384</v>
      </c>
      <c r="E94" s="10" t="s">
        <v>59</v>
      </c>
      <c r="F94" s="11" t="s">
        <v>29</v>
      </c>
      <c r="G94" s="10" t="s">
        <v>209</v>
      </c>
      <c r="H94" s="10" t="s">
        <v>210</v>
      </c>
      <c r="I94" s="10" t="s">
        <v>385</v>
      </c>
      <c r="J94" s="10" t="s">
        <v>386</v>
      </c>
      <c r="K94" s="10"/>
      <c r="L94" s="12"/>
      <c r="M94" s="13" t="s">
        <v>387</v>
      </c>
    </row>
    <row r="95" customFormat="false" ht="33.75" hidden="false" customHeight="true" outlineLevel="0" collapsed="false">
      <c r="B95" s="9" t="n">
        <v>87</v>
      </c>
      <c r="C95" s="10" t="s">
        <v>383</v>
      </c>
      <c r="D95" s="10" t="s">
        <v>388</v>
      </c>
      <c r="E95" s="10" t="s">
        <v>389</v>
      </c>
      <c r="F95" s="11" t="s">
        <v>72</v>
      </c>
      <c r="G95" s="10" t="s">
        <v>209</v>
      </c>
      <c r="H95" s="10" t="s">
        <v>210</v>
      </c>
      <c r="I95" s="10" t="s">
        <v>385</v>
      </c>
      <c r="J95" s="10" t="s">
        <v>390</v>
      </c>
      <c r="K95" s="10" t="s">
        <v>391</v>
      </c>
      <c r="L95" s="12"/>
      <c r="M95" s="13" t="s">
        <v>387</v>
      </c>
    </row>
    <row r="96" customFormat="false" ht="33.75" hidden="false" customHeight="true" outlineLevel="0" collapsed="false">
      <c r="B96" s="9" t="n">
        <v>88</v>
      </c>
      <c r="C96" s="10" t="s">
        <v>392</v>
      </c>
      <c r="D96" s="10" t="s">
        <v>393</v>
      </c>
      <c r="E96" s="10" t="s">
        <v>59</v>
      </c>
      <c r="F96" s="11" t="s">
        <v>29</v>
      </c>
      <c r="G96" s="10" t="s">
        <v>30</v>
      </c>
      <c r="H96" s="10" t="s">
        <v>31</v>
      </c>
      <c r="I96" s="10" t="s">
        <v>394</v>
      </c>
      <c r="J96" s="10" t="s">
        <v>395</v>
      </c>
      <c r="K96" s="10"/>
      <c r="L96" s="12"/>
      <c r="M96" s="13" t="s">
        <v>396</v>
      </c>
    </row>
    <row r="97" customFormat="false" ht="33.75" hidden="false" customHeight="true" outlineLevel="0" collapsed="false">
      <c r="B97" s="9" t="n">
        <v>89</v>
      </c>
      <c r="C97" s="10" t="s">
        <v>397</v>
      </c>
      <c r="D97" s="10" t="s">
        <v>398</v>
      </c>
      <c r="E97" s="10" t="s">
        <v>59</v>
      </c>
      <c r="F97" s="11" t="s">
        <v>29</v>
      </c>
      <c r="G97" s="10" t="s">
        <v>30</v>
      </c>
      <c r="H97" s="10" t="s">
        <v>31</v>
      </c>
      <c r="I97" s="10" t="s">
        <v>397</v>
      </c>
      <c r="J97" s="10" t="s">
        <v>399</v>
      </c>
      <c r="K97" s="10"/>
      <c r="L97" s="12"/>
      <c r="M97" s="13" t="s">
        <v>400</v>
      </c>
    </row>
    <row r="98" customFormat="false" ht="103.5" hidden="false" customHeight="true" outlineLevel="0" collapsed="false">
      <c r="B98" s="9" t="n">
        <v>90</v>
      </c>
      <c r="C98" s="10" t="s">
        <v>397</v>
      </c>
      <c r="D98" s="10" t="s">
        <v>401</v>
      </c>
      <c r="E98" s="10" t="s">
        <v>402</v>
      </c>
      <c r="F98" s="11" t="s">
        <v>29</v>
      </c>
      <c r="G98" s="10" t="s">
        <v>51</v>
      </c>
      <c r="H98" s="10" t="s">
        <v>31</v>
      </c>
      <c r="I98" s="10" t="s">
        <v>397</v>
      </c>
      <c r="J98" s="10" t="s">
        <v>403</v>
      </c>
      <c r="K98" s="10"/>
      <c r="L98" s="12"/>
      <c r="M98" s="13" t="s">
        <v>400</v>
      </c>
    </row>
    <row r="99" customFormat="false" ht="103.5" hidden="false" customHeight="true" outlineLevel="0" collapsed="false">
      <c r="B99" s="9" t="n">
        <v>91</v>
      </c>
      <c r="C99" s="10" t="s">
        <v>404</v>
      </c>
      <c r="D99" s="10" t="s">
        <v>405</v>
      </c>
      <c r="E99" s="10" t="s">
        <v>406</v>
      </c>
      <c r="F99" s="11" t="s">
        <v>29</v>
      </c>
      <c r="G99" s="10" t="s">
        <v>51</v>
      </c>
      <c r="H99" s="10" t="s">
        <v>31</v>
      </c>
      <c r="I99" s="10" t="s">
        <v>407</v>
      </c>
      <c r="J99" s="10" t="s">
        <v>408</v>
      </c>
      <c r="K99" s="10"/>
      <c r="L99" s="12"/>
      <c r="M99" s="13" t="s">
        <v>409</v>
      </c>
    </row>
    <row r="100" customFormat="false" ht="75.75" hidden="false" customHeight="true" outlineLevel="0" collapsed="false">
      <c r="B100" s="9" t="n">
        <v>92</v>
      </c>
      <c r="C100" s="10" t="s">
        <v>404</v>
      </c>
      <c r="D100" s="10" t="s">
        <v>410</v>
      </c>
      <c r="E100" s="10" t="s">
        <v>411</v>
      </c>
      <c r="F100" s="11" t="s">
        <v>29</v>
      </c>
      <c r="G100" s="10" t="s">
        <v>51</v>
      </c>
      <c r="H100" s="10" t="s">
        <v>31</v>
      </c>
      <c r="I100" s="10" t="s">
        <v>412</v>
      </c>
      <c r="J100" s="10" t="s">
        <v>413</v>
      </c>
      <c r="K100" s="10"/>
      <c r="L100" s="12"/>
      <c r="M100" s="13" t="s">
        <v>400</v>
      </c>
    </row>
    <row r="101" customFormat="false" ht="61.5" hidden="false" customHeight="true" outlineLevel="0" collapsed="false">
      <c r="B101" s="9" t="n">
        <v>93</v>
      </c>
      <c r="C101" s="10" t="s">
        <v>404</v>
      </c>
      <c r="D101" s="10" t="s">
        <v>414</v>
      </c>
      <c r="E101" s="10" t="s">
        <v>415</v>
      </c>
      <c r="F101" s="11" t="s">
        <v>29</v>
      </c>
      <c r="G101" s="10" t="s">
        <v>51</v>
      </c>
      <c r="H101" s="10" t="s">
        <v>31</v>
      </c>
      <c r="I101" s="10" t="s">
        <v>416</v>
      </c>
      <c r="J101" s="10" t="s">
        <v>417</v>
      </c>
      <c r="K101" s="10"/>
      <c r="L101" s="12"/>
      <c r="M101" s="13" t="s">
        <v>400</v>
      </c>
    </row>
    <row r="102" customFormat="false" ht="48" hidden="false" customHeight="true" outlineLevel="0" collapsed="false">
      <c r="B102" s="9" t="n">
        <v>94</v>
      </c>
      <c r="C102" s="10" t="s">
        <v>404</v>
      </c>
      <c r="D102" s="10" t="s">
        <v>418</v>
      </c>
      <c r="E102" s="10" t="s">
        <v>419</v>
      </c>
      <c r="F102" s="11" t="s">
        <v>29</v>
      </c>
      <c r="G102" s="10" t="s">
        <v>51</v>
      </c>
      <c r="H102" s="10" t="s">
        <v>31</v>
      </c>
      <c r="I102" s="10" t="s">
        <v>420</v>
      </c>
      <c r="J102" s="10" t="s">
        <v>421</v>
      </c>
      <c r="K102" s="10"/>
      <c r="L102" s="12"/>
      <c r="M102" s="13" t="s">
        <v>400</v>
      </c>
    </row>
    <row r="103" customFormat="false" ht="33.75" hidden="false" customHeight="true" outlineLevel="0" collapsed="false">
      <c r="B103" s="9" t="n">
        <v>95</v>
      </c>
      <c r="C103" s="10" t="s">
        <v>422</v>
      </c>
      <c r="D103" s="10" t="s">
        <v>423</v>
      </c>
      <c r="E103" s="10" t="s">
        <v>59</v>
      </c>
      <c r="F103" s="11" t="s">
        <v>29</v>
      </c>
      <c r="G103" s="10" t="s">
        <v>30</v>
      </c>
      <c r="H103" s="10" t="s">
        <v>31</v>
      </c>
      <c r="I103" s="10" t="s">
        <v>424</v>
      </c>
      <c r="J103" s="10" t="s">
        <v>425</v>
      </c>
      <c r="K103" s="10"/>
      <c r="L103" s="12"/>
      <c r="M103" s="13" t="s">
        <v>426</v>
      </c>
    </row>
    <row r="104" customFormat="false" ht="33.75" hidden="false" customHeight="true" outlineLevel="0" collapsed="false">
      <c r="B104" s="9" t="n">
        <v>96</v>
      </c>
      <c r="C104" s="10" t="s">
        <v>422</v>
      </c>
      <c r="D104" s="10" t="s">
        <v>427</v>
      </c>
      <c r="E104" s="10" t="s">
        <v>59</v>
      </c>
      <c r="F104" s="11" t="s">
        <v>29</v>
      </c>
      <c r="G104" s="10" t="s">
        <v>30</v>
      </c>
      <c r="H104" s="10" t="s">
        <v>31</v>
      </c>
      <c r="I104" s="10" t="s">
        <v>428</v>
      </c>
      <c r="J104" s="10" t="s">
        <v>429</v>
      </c>
      <c r="K104" s="10"/>
      <c r="L104" s="12"/>
      <c r="M104" s="13" t="s">
        <v>426</v>
      </c>
    </row>
    <row r="105" customFormat="false" ht="33.75" hidden="false" customHeight="true" outlineLevel="0" collapsed="false">
      <c r="B105" s="9" t="n">
        <v>97</v>
      </c>
      <c r="C105" s="10" t="s">
        <v>422</v>
      </c>
      <c r="D105" s="10" t="s">
        <v>430</v>
      </c>
      <c r="E105" s="10" t="s">
        <v>59</v>
      </c>
      <c r="F105" s="11" t="s">
        <v>72</v>
      </c>
      <c r="G105" s="10" t="s">
        <v>51</v>
      </c>
      <c r="H105" s="10" t="s">
        <v>31</v>
      </c>
      <c r="I105" s="10" t="s">
        <v>431</v>
      </c>
      <c r="J105" s="10" t="s">
        <v>432</v>
      </c>
      <c r="K105" s="10" t="s">
        <v>433</v>
      </c>
      <c r="L105" s="12"/>
      <c r="M105" s="13" t="s">
        <v>434</v>
      </c>
    </row>
    <row r="106" customFormat="false" ht="33.75" hidden="false" customHeight="true" outlineLevel="0" collapsed="false">
      <c r="B106" s="9" t="n">
        <v>98</v>
      </c>
      <c r="C106" s="10" t="s">
        <v>422</v>
      </c>
      <c r="D106" s="10" t="s">
        <v>435</v>
      </c>
      <c r="E106" s="10" t="s">
        <v>59</v>
      </c>
      <c r="F106" s="11" t="s">
        <v>29</v>
      </c>
      <c r="G106" s="10" t="s">
        <v>30</v>
      </c>
      <c r="H106" s="10" t="s">
        <v>31</v>
      </c>
      <c r="I106" s="10" t="s">
        <v>424</v>
      </c>
      <c r="J106" s="10" t="s">
        <v>436</v>
      </c>
      <c r="K106" s="10"/>
      <c r="L106" s="12"/>
      <c r="M106" s="13" t="s">
        <v>437</v>
      </c>
    </row>
    <row r="107" customFormat="false" ht="61.5" hidden="false" customHeight="true" outlineLevel="0" collapsed="false">
      <c r="B107" s="9" t="n">
        <v>99</v>
      </c>
      <c r="C107" s="10" t="s">
        <v>422</v>
      </c>
      <c r="D107" s="10" t="s">
        <v>438</v>
      </c>
      <c r="E107" s="10" t="s">
        <v>439</v>
      </c>
      <c r="F107" s="11" t="s">
        <v>29</v>
      </c>
      <c r="G107" s="10" t="s">
        <v>440</v>
      </c>
      <c r="H107" s="10" t="s">
        <v>31</v>
      </c>
      <c r="I107" s="10" t="s">
        <v>441</v>
      </c>
      <c r="J107" s="10" t="s">
        <v>442</v>
      </c>
      <c r="K107" s="10" t="s">
        <v>443</v>
      </c>
      <c r="L107" s="12"/>
      <c r="M107" s="13" t="s">
        <v>31</v>
      </c>
    </row>
    <row r="108" customFormat="false" ht="33.75" hidden="false" customHeight="true" outlineLevel="0" collapsed="false">
      <c r="B108" s="9" t="n">
        <v>100</v>
      </c>
      <c r="C108" s="10" t="s">
        <v>444</v>
      </c>
      <c r="D108" s="10" t="s">
        <v>445</v>
      </c>
      <c r="E108" s="10" t="s">
        <v>59</v>
      </c>
      <c r="F108" s="11" t="s">
        <v>29</v>
      </c>
      <c r="G108" s="10" t="s">
        <v>30</v>
      </c>
      <c r="H108" s="10" t="s">
        <v>31</v>
      </c>
      <c r="I108" s="10" t="s">
        <v>444</v>
      </c>
      <c r="J108" s="10" t="s">
        <v>446</v>
      </c>
      <c r="K108" s="10"/>
      <c r="L108" s="12"/>
      <c r="M108" s="13" t="s">
        <v>447</v>
      </c>
    </row>
    <row r="109" customFormat="false" ht="48" hidden="false" customHeight="true" outlineLevel="0" collapsed="false">
      <c r="B109" s="9" t="n">
        <v>101</v>
      </c>
      <c r="C109" s="10" t="s">
        <v>444</v>
      </c>
      <c r="D109" s="10" t="s">
        <v>448</v>
      </c>
      <c r="E109" s="10" t="s">
        <v>449</v>
      </c>
      <c r="F109" s="11" t="s">
        <v>29</v>
      </c>
      <c r="G109" s="10" t="s">
        <v>30</v>
      </c>
      <c r="H109" s="10" t="s">
        <v>31</v>
      </c>
      <c r="I109" s="10" t="s">
        <v>450</v>
      </c>
      <c r="J109" s="10" t="s">
        <v>451</v>
      </c>
      <c r="K109" s="10"/>
      <c r="L109" s="12"/>
      <c r="M109" s="13" t="s">
        <v>44</v>
      </c>
    </row>
    <row r="110" customFormat="false" ht="48" hidden="false" customHeight="true" outlineLevel="0" collapsed="false">
      <c r="B110" s="9" t="n">
        <v>102</v>
      </c>
      <c r="C110" s="10" t="s">
        <v>444</v>
      </c>
      <c r="D110" s="10" t="s">
        <v>452</v>
      </c>
      <c r="E110" s="10" t="s">
        <v>453</v>
      </c>
      <c r="F110" s="11" t="s">
        <v>29</v>
      </c>
      <c r="G110" s="10" t="s">
        <v>175</v>
      </c>
      <c r="H110" s="10" t="s">
        <v>31</v>
      </c>
      <c r="I110" s="10" t="s">
        <v>176</v>
      </c>
      <c r="J110" s="10" t="s">
        <v>454</v>
      </c>
      <c r="K110" s="10"/>
      <c r="L110" s="12"/>
      <c r="M110" s="13" t="s">
        <v>455</v>
      </c>
    </row>
    <row r="111" customFormat="false" ht="33.75" hidden="false" customHeight="true" outlineLevel="0" collapsed="false">
      <c r="B111" s="9" t="n">
        <v>103</v>
      </c>
      <c r="C111" s="10" t="s">
        <v>456</v>
      </c>
      <c r="D111" s="10" t="s">
        <v>457</v>
      </c>
      <c r="E111" s="10" t="s">
        <v>59</v>
      </c>
      <c r="F111" s="11" t="s">
        <v>29</v>
      </c>
      <c r="G111" s="10" t="s">
        <v>30</v>
      </c>
      <c r="H111" s="10" t="s">
        <v>31</v>
      </c>
      <c r="I111" s="10" t="s">
        <v>458</v>
      </c>
      <c r="J111" s="10" t="s">
        <v>459</v>
      </c>
      <c r="K111" s="10"/>
      <c r="L111" s="12"/>
      <c r="M111" s="13" t="s">
        <v>460</v>
      </c>
    </row>
    <row r="112" customFormat="false" ht="25.5" hidden="false" customHeight="true" outlineLevel="0" collapsed="false">
      <c r="B112" s="9" t="n">
        <v>104</v>
      </c>
      <c r="C112" s="10" t="s">
        <v>456</v>
      </c>
      <c r="D112" s="10" t="s">
        <v>461</v>
      </c>
      <c r="E112" s="10" t="s">
        <v>59</v>
      </c>
      <c r="F112" s="11" t="s">
        <v>29</v>
      </c>
      <c r="G112" s="10" t="s">
        <v>30</v>
      </c>
      <c r="H112" s="10" t="s">
        <v>31</v>
      </c>
      <c r="I112" s="10" t="s">
        <v>462</v>
      </c>
      <c r="J112" s="10" t="s">
        <v>463</v>
      </c>
      <c r="K112" s="10"/>
      <c r="L112" s="12"/>
      <c r="M112" s="13" t="s">
        <v>460</v>
      </c>
    </row>
    <row r="113" customFormat="false" ht="48" hidden="false" customHeight="true" outlineLevel="0" collapsed="false">
      <c r="B113" s="9" t="n">
        <v>105</v>
      </c>
      <c r="C113" s="10" t="s">
        <v>456</v>
      </c>
      <c r="D113" s="10" t="s">
        <v>464</v>
      </c>
      <c r="E113" s="10" t="s">
        <v>465</v>
      </c>
      <c r="F113" s="11" t="s">
        <v>72</v>
      </c>
      <c r="G113" s="10" t="s">
        <v>51</v>
      </c>
      <c r="H113" s="10" t="s">
        <v>31</v>
      </c>
      <c r="I113" s="10" t="s">
        <v>466</v>
      </c>
      <c r="J113" s="10" t="s">
        <v>467</v>
      </c>
      <c r="K113" s="10" t="s">
        <v>468</v>
      </c>
      <c r="L113" s="12"/>
      <c r="M113" s="13" t="s">
        <v>460</v>
      </c>
    </row>
    <row r="114" customFormat="false" ht="33.75" hidden="false" customHeight="true" outlineLevel="0" collapsed="false">
      <c r="B114" s="9" t="n">
        <v>106</v>
      </c>
      <c r="C114" s="10" t="s">
        <v>456</v>
      </c>
      <c r="D114" s="10" t="s">
        <v>469</v>
      </c>
      <c r="E114" s="10" t="s">
        <v>59</v>
      </c>
      <c r="F114" s="11" t="s">
        <v>29</v>
      </c>
      <c r="G114" s="10" t="s">
        <v>30</v>
      </c>
      <c r="H114" s="10" t="s">
        <v>31</v>
      </c>
      <c r="I114" s="10" t="s">
        <v>470</v>
      </c>
      <c r="J114" s="10" t="s">
        <v>471</v>
      </c>
      <c r="K114" s="10"/>
      <c r="L114" s="12"/>
      <c r="M114" s="13" t="s">
        <v>164</v>
      </c>
    </row>
    <row r="115" customFormat="false" ht="33.75" hidden="false" customHeight="true" outlineLevel="0" collapsed="false">
      <c r="B115" s="9" t="n">
        <v>107</v>
      </c>
      <c r="C115" s="10" t="s">
        <v>456</v>
      </c>
      <c r="D115" s="10" t="s">
        <v>472</v>
      </c>
      <c r="E115" s="10" t="s">
        <v>473</v>
      </c>
      <c r="F115" s="11" t="s">
        <v>29</v>
      </c>
      <c r="G115" s="10" t="s">
        <v>51</v>
      </c>
      <c r="H115" s="10" t="s">
        <v>31</v>
      </c>
      <c r="I115" s="10" t="s">
        <v>474</v>
      </c>
      <c r="J115" s="10" t="s">
        <v>475</v>
      </c>
      <c r="K115" s="10"/>
      <c r="L115" s="12"/>
      <c r="M115" s="13" t="s">
        <v>460</v>
      </c>
    </row>
    <row r="116" customFormat="false" ht="33.75" hidden="false" customHeight="true" outlineLevel="0" collapsed="false">
      <c r="B116" s="9" t="n">
        <v>108</v>
      </c>
      <c r="C116" s="10" t="s">
        <v>456</v>
      </c>
      <c r="D116" s="10" t="s">
        <v>476</v>
      </c>
      <c r="E116" s="10" t="s">
        <v>59</v>
      </c>
      <c r="F116" s="11" t="s">
        <v>29</v>
      </c>
      <c r="G116" s="10" t="s">
        <v>30</v>
      </c>
      <c r="H116" s="10" t="s">
        <v>31</v>
      </c>
      <c r="I116" s="10" t="s">
        <v>474</v>
      </c>
      <c r="J116" s="10" t="s">
        <v>477</v>
      </c>
      <c r="K116" s="10"/>
      <c r="L116" s="12"/>
      <c r="M116" s="13" t="s">
        <v>460</v>
      </c>
    </row>
    <row r="117" customFormat="false" ht="25.5" hidden="false" customHeight="true" outlineLevel="0" collapsed="false">
      <c r="B117" s="9" t="n">
        <v>109</v>
      </c>
      <c r="C117" s="10" t="s">
        <v>478</v>
      </c>
      <c r="D117" s="10" t="s">
        <v>479</v>
      </c>
      <c r="E117" s="10" t="s">
        <v>59</v>
      </c>
      <c r="F117" s="11" t="s">
        <v>29</v>
      </c>
      <c r="G117" s="10" t="s">
        <v>30</v>
      </c>
      <c r="H117" s="10" t="s">
        <v>31</v>
      </c>
      <c r="I117" s="10" t="s">
        <v>478</v>
      </c>
      <c r="J117" s="10" t="s">
        <v>480</v>
      </c>
      <c r="K117" s="10"/>
      <c r="L117" s="12"/>
      <c r="M117" s="13" t="s">
        <v>481</v>
      </c>
    </row>
    <row r="118" customFormat="false" ht="48" hidden="false" customHeight="true" outlineLevel="0" collapsed="false">
      <c r="B118" s="9" t="n">
        <v>110</v>
      </c>
      <c r="C118" s="10" t="s">
        <v>482</v>
      </c>
      <c r="D118" s="10" t="s">
        <v>483</v>
      </c>
      <c r="E118" s="10" t="s">
        <v>484</v>
      </c>
      <c r="F118" s="11" t="s">
        <v>29</v>
      </c>
      <c r="G118" s="10" t="s">
        <v>30</v>
      </c>
      <c r="H118" s="10" t="s">
        <v>31</v>
      </c>
      <c r="I118" s="10" t="s">
        <v>485</v>
      </c>
      <c r="J118" s="10" t="s">
        <v>231</v>
      </c>
      <c r="K118" s="10"/>
      <c r="L118" s="12"/>
      <c r="M118" s="13" t="s">
        <v>486</v>
      </c>
    </row>
    <row r="119" customFormat="false" ht="48" hidden="false" customHeight="true" outlineLevel="0" collapsed="false">
      <c r="B119" s="9" t="n">
        <v>111</v>
      </c>
      <c r="C119" s="10" t="s">
        <v>482</v>
      </c>
      <c r="D119" s="10" t="s">
        <v>487</v>
      </c>
      <c r="E119" s="10" t="s">
        <v>488</v>
      </c>
      <c r="F119" s="11" t="s">
        <v>29</v>
      </c>
      <c r="G119" s="10" t="s">
        <v>30</v>
      </c>
      <c r="H119" s="10" t="s">
        <v>31</v>
      </c>
      <c r="I119" s="10" t="s">
        <v>489</v>
      </c>
      <c r="J119" s="10" t="s">
        <v>490</v>
      </c>
      <c r="K119" s="10" t="s">
        <v>491</v>
      </c>
      <c r="L119" s="12"/>
      <c r="M119" s="13" t="s">
        <v>486</v>
      </c>
    </row>
    <row r="120" customFormat="false" ht="33.75" hidden="false" customHeight="true" outlineLevel="0" collapsed="false">
      <c r="B120" s="9" t="n">
        <v>112</v>
      </c>
      <c r="C120" s="10" t="s">
        <v>482</v>
      </c>
      <c r="D120" s="10" t="s">
        <v>492</v>
      </c>
      <c r="E120" s="10" t="s">
        <v>493</v>
      </c>
      <c r="F120" s="11" t="s">
        <v>29</v>
      </c>
      <c r="G120" s="10" t="s">
        <v>51</v>
      </c>
      <c r="H120" s="10" t="s">
        <v>31</v>
      </c>
      <c r="I120" s="10" t="s">
        <v>494</v>
      </c>
      <c r="J120" s="10" t="s">
        <v>495</v>
      </c>
      <c r="K120" s="10"/>
      <c r="L120" s="12"/>
      <c r="M120" s="13" t="s">
        <v>486</v>
      </c>
    </row>
    <row r="121" customFormat="false" ht="61.5" hidden="false" customHeight="true" outlineLevel="0" collapsed="false">
      <c r="B121" s="9" t="n">
        <v>113</v>
      </c>
      <c r="C121" s="10" t="s">
        <v>482</v>
      </c>
      <c r="D121" s="10" t="s">
        <v>496</v>
      </c>
      <c r="E121" s="10" t="s">
        <v>497</v>
      </c>
      <c r="F121" s="11" t="s">
        <v>29</v>
      </c>
      <c r="G121" s="10" t="s">
        <v>51</v>
      </c>
      <c r="H121" s="10" t="s">
        <v>31</v>
      </c>
      <c r="I121" s="10" t="s">
        <v>498</v>
      </c>
      <c r="J121" s="10" t="s">
        <v>499</v>
      </c>
      <c r="K121" s="10"/>
      <c r="L121" s="12"/>
      <c r="M121" s="13" t="s">
        <v>486</v>
      </c>
    </row>
    <row r="122" customFormat="false" ht="48" hidden="false" customHeight="true" outlineLevel="0" collapsed="false">
      <c r="B122" s="9" t="n">
        <v>114</v>
      </c>
      <c r="C122" s="10" t="s">
        <v>482</v>
      </c>
      <c r="D122" s="10" t="s">
        <v>500</v>
      </c>
      <c r="E122" s="10" t="s">
        <v>501</v>
      </c>
      <c r="F122" s="11" t="s">
        <v>29</v>
      </c>
      <c r="G122" s="10" t="s">
        <v>51</v>
      </c>
      <c r="H122" s="10" t="s">
        <v>31</v>
      </c>
      <c r="I122" s="10" t="s">
        <v>502</v>
      </c>
      <c r="J122" s="10" t="s">
        <v>503</v>
      </c>
      <c r="K122" s="10" t="s">
        <v>504</v>
      </c>
      <c r="L122" s="12"/>
      <c r="M122" s="13" t="s">
        <v>486</v>
      </c>
    </row>
    <row r="123" customFormat="false" ht="48" hidden="false" customHeight="true" outlineLevel="0" collapsed="false">
      <c r="B123" s="9" t="n">
        <v>115</v>
      </c>
      <c r="C123" s="10" t="s">
        <v>482</v>
      </c>
      <c r="D123" s="10" t="s">
        <v>505</v>
      </c>
      <c r="E123" s="10" t="s">
        <v>506</v>
      </c>
      <c r="F123" s="11" t="s">
        <v>29</v>
      </c>
      <c r="G123" s="10" t="s">
        <v>30</v>
      </c>
      <c r="H123" s="10" t="s">
        <v>31</v>
      </c>
      <c r="I123" s="10" t="s">
        <v>507</v>
      </c>
      <c r="J123" s="10" t="s">
        <v>508</v>
      </c>
      <c r="K123" s="10"/>
      <c r="L123" s="12"/>
      <c r="M123" s="13" t="s">
        <v>486</v>
      </c>
    </row>
    <row r="124" customFormat="false" ht="48" hidden="false" customHeight="true" outlineLevel="0" collapsed="false">
      <c r="B124" s="9" t="n">
        <v>116</v>
      </c>
      <c r="C124" s="10" t="s">
        <v>482</v>
      </c>
      <c r="D124" s="10" t="s">
        <v>509</v>
      </c>
      <c r="E124" s="10" t="s">
        <v>510</v>
      </c>
      <c r="F124" s="11" t="s">
        <v>29</v>
      </c>
      <c r="G124" s="10" t="s">
        <v>51</v>
      </c>
      <c r="H124" s="10" t="s">
        <v>31</v>
      </c>
      <c r="I124" s="10" t="s">
        <v>511</v>
      </c>
      <c r="J124" s="10" t="s">
        <v>512</v>
      </c>
      <c r="K124" s="10"/>
      <c r="L124" s="12"/>
      <c r="M124" s="13" t="s">
        <v>486</v>
      </c>
    </row>
    <row r="125" customFormat="false" ht="33.75" hidden="false" customHeight="true" outlineLevel="0" collapsed="false">
      <c r="B125" s="9" t="n">
        <v>117</v>
      </c>
      <c r="C125" s="10" t="s">
        <v>513</v>
      </c>
      <c r="D125" s="10" t="s">
        <v>514</v>
      </c>
      <c r="E125" s="10" t="s">
        <v>59</v>
      </c>
      <c r="F125" s="11" t="s">
        <v>29</v>
      </c>
      <c r="G125" s="10" t="s">
        <v>209</v>
      </c>
      <c r="H125" s="10" t="s">
        <v>210</v>
      </c>
      <c r="I125" s="10" t="s">
        <v>515</v>
      </c>
      <c r="J125" s="10" t="s">
        <v>425</v>
      </c>
      <c r="K125" s="10"/>
      <c r="L125" s="12"/>
      <c r="M125" s="13" t="s">
        <v>516</v>
      </c>
    </row>
    <row r="126" customFormat="false" ht="48" hidden="false" customHeight="true" outlineLevel="0" collapsed="false">
      <c r="B126" s="9" t="n">
        <v>118</v>
      </c>
      <c r="C126" s="10" t="s">
        <v>513</v>
      </c>
      <c r="D126" s="10" t="s">
        <v>517</v>
      </c>
      <c r="E126" s="10" t="s">
        <v>518</v>
      </c>
      <c r="F126" s="11" t="s">
        <v>29</v>
      </c>
      <c r="G126" s="10" t="s">
        <v>209</v>
      </c>
      <c r="H126" s="10" t="s">
        <v>210</v>
      </c>
      <c r="I126" s="10" t="s">
        <v>519</v>
      </c>
      <c r="J126" s="10" t="s">
        <v>115</v>
      </c>
      <c r="K126" s="10"/>
      <c r="L126" s="12"/>
      <c r="M126" s="13" t="s">
        <v>516</v>
      </c>
    </row>
    <row r="127" customFormat="false" ht="33.75" hidden="false" customHeight="true" outlineLevel="0" collapsed="false">
      <c r="B127" s="9" t="n">
        <v>119</v>
      </c>
      <c r="C127" s="10" t="s">
        <v>513</v>
      </c>
      <c r="D127" s="10" t="s">
        <v>520</v>
      </c>
      <c r="E127" s="10" t="s">
        <v>521</v>
      </c>
      <c r="F127" s="11" t="s">
        <v>29</v>
      </c>
      <c r="G127" s="10" t="s">
        <v>209</v>
      </c>
      <c r="H127" s="10" t="s">
        <v>210</v>
      </c>
      <c r="I127" s="10" t="s">
        <v>522</v>
      </c>
      <c r="J127" s="10" t="s">
        <v>523</v>
      </c>
      <c r="K127" s="10"/>
      <c r="L127" s="12"/>
      <c r="M127" s="13" t="s">
        <v>516</v>
      </c>
    </row>
    <row r="128" customFormat="false" ht="33.75" hidden="false" customHeight="true" outlineLevel="0" collapsed="false">
      <c r="B128" s="9" t="n">
        <v>120</v>
      </c>
      <c r="C128" s="10" t="s">
        <v>513</v>
      </c>
      <c r="D128" s="10" t="s">
        <v>524</v>
      </c>
      <c r="E128" s="10" t="s">
        <v>59</v>
      </c>
      <c r="F128" s="11" t="s">
        <v>29</v>
      </c>
      <c r="G128" s="10" t="s">
        <v>209</v>
      </c>
      <c r="H128" s="10" t="s">
        <v>210</v>
      </c>
      <c r="I128" s="10" t="s">
        <v>515</v>
      </c>
      <c r="J128" s="10" t="s">
        <v>525</v>
      </c>
      <c r="K128" s="10"/>
      <c r="L128" s="12"/>
      <c r="M128" s="13" t="s">
        <v>526</v>
      </c>
    </row>
    <row r="129" customFormat="false" ht="48" hidden="false" customHeight="true" outlineLevel="0" collapsed="false">
      <c r="B129" s="9" t="n">
        <v>121</v>
      </c>
      <c r="C129" s="10" t="s">
        <v>527</v>
      </c>
      <c r="D129" s="10" t="s">
        <v>528</v>
      </c>
      <c r="E129" s="10" t="s">
        <v>529</v>
      </c>
      <c r="F129" s="11" t="s">
        <v>72</v>
      </c>
      <c r="G129" s="10" t="s">
        <v>209</v>
      </c>
      <c r="H129" s="10" t="s">
        <v>210</v>
      </c>
      <c r="I129" s="10" t="s">
        <v>530</v>
      </c>
      <c r="J129" s="10" t="s">
        <v>531</v>
      </c>
      <c r="K129" s="10" t="s">
        <v>532</v>
      </c>
      <c r="L129" s="12"/>
      <c r="M129" s="13" t="s">
        <v>516</v>
      </c>
    </row>
    <row r="130" customFormat="false" ht="33.75" hidden="false" customHeight="true" outlineLevel="0" collapsed="false">
      <c r="B130" s="9" t="n">
        <v>122</v>
      </c>
      <c r="C130" s="10" t="s">
        <v>527</v>
      </c>
      <c r="D130" s="10" t="s">
        <v>533</v>
      </c>
      <c r="E130" s="10" t="s">
        <v>534</v>
      </c>
      <c r="F130" s="11" t="s">
        <v>29</v>
      </c>
      <c r="G130" s="10" t="s">
        <v>238</v>
      </c>
      <c r="H130" s="10" t="s">
        <v>210</v>
      </c>
      <c r="I130" s="10" t="s">
        <v>535</v>
      </c>
      <c r="J130" s="10" t="s">
        <v>536</v>
      </c>
      <c r="K130" s="10"/>
      <c r="L130" s="12"/>
      <c r="M130" s="13" t="s">
        <v>516</v>
      </c>
    </row>
    <row r="131" customFormat="false" ht="61.5" hidden="false" customHeight="true" outlineLevel="0" collapsed="false">
      <c r="B131" s="9" t="n">
        <v>123</v>
      </c>
      <c r="C131" s="10" t="s">
        <v>527</v>
      </c>
      <c r="D131" s="10" t="s">
        <v>537</v>
      </c>
      <c r="E131" s="10" t="s">
        <v>538</v>
      </c>
      <c r="F131" s="11" t="s">
        <v>29</v>
      </c>
      <c r="G131" s="10" t="s">
        <v>539</v>
      </c>
      <c r="H131" s="10" t="s">
        <v>210</v>
      </c>
      <c r="I131" s="10" t="s">
        <v>540</v>
      </c>
      <c r="J131" s="10" t="s">
        <v>541</v>
      </c>
      <c r="K131" s="10"/>
      <c r="L131" s="12"/>
      <c r="M131" s="13" t="s">
        <v>542</v>
      </c>
    </row>
    <row r="132" customFormat="false" ht="48" hidden="false" customHeight="true" outlineLevel="0" collapsed="false">
      <c r="B132" s="9" t="n">
        <v>124</v>
      </c>
      <c r="C132" s="10" t="s">
        <v>543</v>
      </c>
      <c r="D132" s="10" t="s">
        <v>544</v>
      </c>
      <c r="E132" s="10" t="s">
        <v>545</v>
      </c>
      <c r="F132" s="11" t="s">
        <v>29</v>
      </c>
      <c r="G132" s="10" t="s">
        <v>209</v>
      </c>
      <c r="H132" s="10" t="s">
        <v>210</v>
      </c>
      <c r="I132" s="10" t="s">
        <v>546</v>
      </c>
      <c r="J132" s="10" t="s">
        <v>547</v>
      </c>
      <c r="K132" s="10"/>
      <c r="L132" s="12"/>
      <c r="M132" s="13" t="s">
        <v>548</v>
      </c>
    </row>
    <row r="133" customFormat="false" ht="48" hidden="false" customHeight="true" outlineLevel="0" collapsed="false">
      <c r="B133" s="9" t="n">
        <v>125</v>
      </c>
      <c r="C133" s="10" t="s">
        <v>543</v>
      </c>
      <c r="D133" s="10" t="s">
        <v>549</v>
      </c>
      <c r="E133" s="10" t="s">
        <v>550</v>
      </c>
      <c r="F133" s="11" t="s">
        <v>29</v>
      </c>
      <c r="G133" s="10" t="s">
        <v>218</v>
      </c>
      <c r="H133" s="10" t="s">
        <v>210</v>
      </c>
      <c r="I133" s="10" t="s">
        <v>551</v>
      </c>
      <c r="J133" s="10" t="s">
        <v>454</v>
      </c>
      <c r="K133" s="10"/>
      <c r="L133" s="12"/>
      <c r="M133" s="13" t="s">
        <v>548</v>
      </c>
    </row>
    <row r="134" customFormat="false" ht="48" hidden="false" customHeight="true" outlineLevel="0" collapsed="false">
      <c r="B134" s="9" t="n">
        <v>126</v>
      </c>
      <c r="C134" s="10" t="s">
        <v>543</v>
      </c>
      <c r="D134" s="10" t="s">
        <v>552</v>
      </c>
      <c r="E134" s="10" t="s">
        <v>553</v>
      </c>
      <c r="F134" s="11" t="s">
        <v>29</v>
      </c>
      <c r="G134" s="10" t="s">
        <v>209</v>
      </c>
      <c r="H134" s="10" t="s">
        <v>210</v>
      </c>
      <c r="I134" s="10" t="s">
        <v>554</v>
      </c>
      <c r="J134" s="10" t="s">
        <v>555</v>
      </c>
      <c r="K134" s="10"/>
      <c r="L134" s="12"/>
      <c r="M134" s="13" t="s">
        <v>548</v>
      </c>
    </row>
    <row r="135" customFormat="false" ht="33.75" hidden="false" customHeight="true" outlineLevel="0" collapsed="false">
      <c r="B135" s="9" t="n">
        <v>127</v>
      </c>
      <c r="C135" s="10" t="s">
        <v>556</v>
      </c>
      <c r="D135" s="10" t="s">
        <v>557</v>
      </c>
      <c r="E135" s="10" t="s">
        <v>59</v>
      </c>
      <c r="F135" s="11" t="s">
        <v>29</v>
      </c>
      <c r="G135" s="10" t="s">
        <v>209</v>
      </c>
      <c r="H135" s="10" t="s">
        <v>210</v>
      </c>
      <c r="I135" s="10" t="s">
        <v>515</v>
      </c>
      <c r="J135" s="10" t="s">
        <v>558</v>
      </c>
      <c r="K135" s="10"/>
      <c r="L135" s="12"/>
      <c r="M135" s="13" t="s">
        <v>526</v>
      </c>
    </row>
    <row r="136" customFormat="false" ht="33.75" hidden="false" customHeight="true" outlineLevel="0" collapsed="false">
      <c r="B136" s="9" t="n">
        <v>128</v>
      </c>
      <c r="C136" s="10" t="s">
        <v>559</v>
      </c>
      <c r="D136" s="10" t="s">
        <v>560</v>
      </c>
      <c r="E136" s="10" t="s">
        <v>561</v>
      </c>
      <c r="F136" s="11" t="s">
        <v>86</v>
      </c>
      <c r="G136" s="10" t="s">
        <v>209</v>
      </c>
      <c r="H136" s="10" t="s">
        <v>210</v>
      </c>
      <c r="I136" s="10" t="s">
        <v>31</v>
      </c>
      <c r="J136" s="10" t="s">
        <v>31</v>
      </c>
      <c r="K136" s="10" t="s">
        <v>562</v>
      </c>
      <c r="L136" s="12"/>
      <c r="M136" s="13" t="s">
        <v>31</v>
      </c>
    </row>
    <row r="137" customFormat="false" ht="48" hidden="false" customHeight="true" outlineLevel="0" collapsed="false">
      <c r="B137" s="9" t="n">
        <v>129</v>
      </c>
      <c r="C137" s="10" t="s">
        <v>559</v>
      </c>
      <c r="D137" s="10" t="s">
        <v>563</v>
      </c>
      <c r="E137" s="10" t="s">
        <v>564</v>
      </c>
      <c r="F137" s="11" t="s">
        <v>72</v>
      </c>
      <c r="G137" s="10" t="s">
        <v>209</v>
      </c>
      <c r="H137" s="10" t="s">
        <v>210</v>
      </c>
      <c r="I137" s="10" t="s">
        <v>565</v>
      </c>
      <c r="J137" s="10" t="s">
        <v>566</v>
      </c>
      <c r="K137" s="10" t="s">
        <v>567</v>
      </c>
      <c r="L137" s="12"/>
      <c r="M137" s="13" t="s">
        <v>516</v>
      </c>
    </row>
    <row r="138" customFormat="false" ht="61.5" hidden="false" customHeight="true" outlineLevel="0" collapsed="false">
      <c r="B138" s="9" t="n">
        <v>130</v>
      </c>
      <c r="C138" s="10" t="s">
        <v>568</v>
      </c>
      <c r="D138" s="10" t="s">
        <v>569</v>
      </c>
      <c r="E138" s="10" t="s">
        <v>570</v>
      </c>
      <c r="F138" s="11" t="s">
        <v>29</v>
      </c>
      <c r="G138" s="10" t="s">
        <v>571</v>
      </c>
      <c r="H138" s="10" t="s">
        <v>31</v>
      </c>
      <c r="I138" s="10" t="s">
        <v>572</v>
      </c>
      <c r="J138" s="10" t="s">
        <v>573</v>
      </c>
      <c r="K138" s="10" t="s">
        <v>574</v>
      </c>
      <c r="L138" s="12"/>
      <c r="M138" s="13" t="s">
        <v>575</v>
      </c>
    </row>
    <row r="139" customFormat="false" ht="61.5" hidden="false" customHeight="true" outlineLevel="0" collapsed="false">
      <c r="B139" s="9" t="n">
        <v>131</v>
      </c>
      <c r="C139" s="10" t="s">
        <v>576</v>
      </c>
      <c r="D139" s="10" t="s">
        <v>577</v>
      </c>
      <c r="E139" s="10" t="s">
        <v>578</v>
      </c>
      <c r="F139" s="11" t="s">
        <v>29</v>
      </c>
      <c r="G139" s="10" t="s">
        <v>203</v>
      </c>
      <c r="H139" s="10" t="s">
        <v>31</v>
      </c>
      <c r="I139" s="10" t="s">
        <v>579</v>
      </c>
      <c r="J139" s="10" t="s">
        <v>580</v>
      </c>
      <c r="K139" s="10" t="s">
        <v>581</v>
      </c>
      <c r="L139" s="12"/>
      <c r="M139" s="13" t="s">
        <v>542</v>
      </c>
    </row>
    <row r="140" customFormat="false" ht="75.75" hidden="false" customHeight="true" outlineLevel="0" collapsed="false">
      <c r="B140" s="9" t="n">
        <v>132</v>
      </c>
      <c r="C140" s="10" t="s">
        <v>576</v>
      </c>
      <c r="D140" s="10" t="s">
        <v>582</v>
      </c>
      <c r="E140" s="10" t="s">
        <v>583</v>
      </c>
      <c r="F140" s="11" t="s">
        <v>29</v>
      </c>
      <c r="G140" s="10" t="s">
        <v>203</v>
      </c>
      <c r="H140" s="10" t="s">
        <v>31</v>
      </c>
      <c r="I140" s="10" t="s">
        <v>584</v>
      </c>
      <c r="J140" s="10" t="s">
        <v>585</v>
      </c>
      <c r="K140" s="10" t="s">
        <v>586</v>
      </c>
      <c r="L140" s="12"/>
      <c r="M140" s="13" t="s">
        <v>542</v>
      </c>
    </row>
    <row r="141" customFormat="false" ht="61.5" hidden="false" customHeight="true" outlineLevel="0" collapsed="false">
      <c r="B141" s="9" t="n">
        <v>133</v>
      </c>
      <c r="C141" s="10" t="s">
        <v>576</v>
      </c>
      <c r="D141" s="10" t="s">
        <v>587</v>
      </c>
      <c r="E141" s="10" t="s">
        <v>588</v>
      </c>
      <c r="F141" s="11" t="s">
        <v>29</v>
      </c>
      <c r="G141" s="10" t="s">
        <v>203</v>
      </c>
      <c r="H141" s="10" t="s">
        <v>31</v>
      </c>
      <c r="I141" s="10" t="s">
        <v>589</v>
      </c>
      <c r="J141" s="10" t="s">
        <v>590</v>
      </c>
      <c r="K141" s="10"/>
      <c r="L141" s="12"/>
      <c r="M141" s="13" t="s">
        <v>542</v>
      </c>
    </row>
    <row r="142" customFormat="false" ht="48" hidden="false" customHeight="true" outlineLevel="0" collapsed="false">
      <c r="B142" s="9" t="n">
        <v>134</v>
      </c>
      <c r="C142" s="10" t="s">
        <v>576</v>
      </c>
      <c r="D142" s="10" t="s">
        <v>591</v>
      </c>
      <c r="E142" s="10" t="s">
        <v>592</v>
      </c>
      <c r="F142" s="11" t="s">
        <v>29</v>
      </c>
      <c r="G142" s="10" t="s">
        <v>203</v>
      </c>
      <c r="H142" s="10" t="s">
        <v>31</v>
      </c>
      <c r="I142" s="10" t="s">
        <v>593</v>
      </c>
      <c r="J142" s="10" t="s">
        <v>594</v>
      </c>
      <c r="K142" s="10"/>
      <c r="L142" s="12"/>
      <c r="M142" s="13" t="s">
        <v>595</v>
      </c>
    </row>
    <row r="143" customFormat="false" ht="75.75" hidden="false" customHeight="true" outlineLevel="0" collapsed="false">
      <c r="B143" s="9" t="n">
        <v>135</v>
      </c>
      <c r="C143" s="10" t="s">
        <v>596</v>
      </c>
      <c r="D143" s="10" t="s">
        <v>597</v>
      </c>
      <c r="E143" s="10" t="s">
        <v>598</v>
      </c>
      <c r="F143" s="11" t="s">
        <v>29</v>
      </c>
      <c r="G143" s="10" t="s">
        <v>571</v>
      </c>
      <c r="H143" s="10" t="s">
        <v>31</v>
      </c>
      <c r="I143" s="10" t="s">
        <v>599</v>
      </c>
      <c r="J143" s="10" t="s">
        <v>600</v>
      </c>
      <c r="K143" s="10"/>
      <c r="L143" s="12"/>
      <c r="M143" s="13" t="s">
        <v>601</v>
      </c>
    </row>
    <row r="144" customFormat="false" ht="103.5" hidden="false" customHeight="true" outlineLevel="0" collapsed="false">
      <c r="B144" s="9" t="n">
        <v>136</v>
      </c>
      <c r="C144" s="10" t="s">
        <v>596</v>
      </c>
      <c r="D144" s="10" t="s">
        <v>602</v>
      </c>
      <c r="E144" s="10" t="s">
        <v>603</v>
      </c>
      <c r="F144" s="11" t="s">
        <v>29</v>
      </c>
      <c r="G144" s="10" t="s">
        <v>571</v>
      </c>
      <c r="H144" s="10" t="s">
        <v>31</v>
      </c>
      <c r="I144" s="10" t="s">
        <v>604</v>
      </c>
      <c r="J144" s="10" t="s">
        <v>605</v>
      </c>
      <c r="K144" s="10"/>
      <c r="L144" s="12"/>
      <c r="M144" s="13" t="s">
        <v>606</v>
      </c>
    </row>
    <row r="145" customFormat="false" ht="33.75" hidden="false" customHeight="true" outlineLevel="0" collapsed="false">
      <c r="B145" s="9" t="n">
        <v>137</v>
      </c>
      <c r="C145" s="10" t="s">
        <v>607</v>
      </c>
      <c r="D145" s="10" t="s">
        <v>608</v>
      </c>
      <c r="E145" s="10" t="s">
        <v>59</v>
      </c>
      <c r="F145" s="11" t="s">
        <v>29</v>
      </c>
      <c r="G145" s="10" t="s">
        <v>571</v>
      </c>
      <c r="H145" s="10" t="s">
        <v>31</v>
      </c>
      <c r="I145" s="10" t="s">
        <v>609</v>
      </c>
      <c r="J145" s="10" t="s">
        <v>610</v>
      </c>
      <c r="K145" s="10"/>
      <c r="L145" s="12"/>
      <c r="M145" s="13" t="s">
        <v>611</v>
      </c>
    </row>
    <row r="146" customFormat="false" ht="33.75" hidden="false" customHeight="true" outlineLevel="0" collapsed="false">
      <c r="B146" s="9" t="n">
        <v>138</v>
      </c>
      <c r="C146" s="10" t="s">
        <v>612</v>
      </c>
      <c r="D146" s="10" t="s">
        <v>613</v>
      </c>
      <c r="E146" s="10" t="s">
        <v>59</v>
      </c>
      <c r="F146" s="11" t="s">
        <v>29</v>
      </c>
      <c r="G146" s="10" t="s">
        <v>571</v>
      </c>
      <c r="H146" s="10" t="s">
        <v>31</v>
      </c>
      <c r="I146" s="10" t="s">
        <v>614</v>
      </c>
      <c r="J146" s="10" t="s">
        <v>615</v>
      </c>
      <c r="K146" s="10"/>
      <c r="L146" s="12"/>
      <c r="M146" s="13" t="s">
        <v>601</v>
      </c>
    </row>
    <row r="147" customFormat="false" ht="48" hidden="false" customHeight="true" outlineLevel="0" collapsed="false">
      <c r="B147" s="9" t="n">
        <v>139</v>
      </c>
      <c r="C147" s="10" t="s">
        <v>616</v>
      </c>
      <c r="D147" s="10" t="s">
        <v>617</v>
      </c>
      <c r="E147" s="10" t="s">
        <v>618</v>
      </c>
      <c r="F147" s="11" t="s">
        <v>29</v>
      </c>
      <c r="G147" s="10" t="s">
        <v>571</v>
      </c>
      <c r="H147" s="10" t="s">
        <v>31</v>
      </c>
      <c r="I147" s="10" t="s">
        <v>619</v>
      </c>
      <c r="J147" s="10" t="s">
        <v>620</v>
      </c>
      <c r="K147" s="10"/>
      <c r="L147" s="12"/>
      <c r="M147" s="13" t="s">
        <v>409</v>
      </c>
    </row>
    <row r="148" customFormat="false" ht="132" hidden="false" customHeight="true" outlineLevel="0" collapsed="false">
      <c r="B148" s="9" t="n">
        <v>140</v>
      </c>
      <c r="C148" s="10" t="s">
        <v>616</v>
      </c>
      <c r="D148" s="10" t="s">
        <v>621</v>
      </c>
      <c r="E148" s="10" t="s">
        <v>622</v>
      </c>
      <c r="F148" s="11" t="s">
        <v>29</v>
      </c>
      <c r="G148" s="10" t="s">
        <v>571</v>
      </c>
      <c r="H148" s="10" t="s">
        <v>31</v>
      </c>
      <c r="I148" s="10" t="s">
        <v>623</v>
      </c>
      <c r="J148" s="10" t="s">
        <v>624</v>
      </c>
      <c r="K148" s="10"/>
      <c r="L148" s="12"/>
      <c r="M148" s="13" t="s">
        <v>625</v>
      </c>
    </row>
    <row r="149" customFormat="false" ht="103.5" hidden="false" customHeight="true" outlineLevel="0" collapsed="false">
      <c r="B149" s="9" t="n">
        <v>141</v>
      </c>
      <c r="C149" s="10" t="s">
        <v>626</v>
      </c>
      <c r="D149" s="10" t="s">
        <v>627</v>
      </c>
      <c r="E149" s="10" t="s">
        <v>628</v>
      </c>
      <c r="F149" s="11" t="s">
        <v>29</v>
      </c>
      <c r="G149" s="10" t="s">
        <v>571</v>
      </c>
      <c r="H149" s="10" t="s">
        <v>31</v>
      </c>
      <c r="I149" s="10" t="s">
        <v>629</v>
      </c>
      <c r="J149" s="10" t="s">
        <v>630</v>
      </c>
      <c r="K149" s="10"/>
      <c r="L149" s="12"/>
      <c r="M149" s="13" t="s">
        <v>409</v>
      </c>
    </row>
    <row r="150" customFormat="false" ht="33.75" hidden="false" customHeight="true" outlineLevel="0" collapsed="false">
      <c r="B150" s="9" t="n">
        <v>142</v>
      </c>
      <c r="C150" s="10" t="s">
        <v>631</v>
      </c>
      <c r="D150" s="10" t="s">
        <v>632</v>
      </c>
      <c r="E150" s="10" t="s">
        <v>59</v>
      </c>
      <c r="F150" s="11" t="s">
        <v>29</v>
      </c>
      <c r="G150" s="10" t="s">
        <v>571</v>
      </c>
      <c r="H150" s="10" t="s">
        <v>31</v>
      </c>
      <c r="I150" s="10" t="s">
        <v>633</v>
      </c>
      <c r="J150" s="10" t="s">
        <v>634</v>
      </c>
      <c r="K150" s="10"/>
      <c r="L150" s="12"/>
      <c r="M150" s="13" t="s">
        <v>635</v>
      </c>
    </row>
    <row r="151" customFormat="false" ht="90" hidden="false" customHeight="true" outlineLevel="0" collapsed="false">
      <c r="B151" s="9" t="n">
        <v>143</v>
      </c>
      <c r="C151" s="10" t="s">
        <v>636</v>
      </c>
      <c r="D151" s="10" t="s">
        <v>637</v>
      </c>
      <c r="E151" s="10" t="s">
        <v>638</v>
      </c>
      <c r="F151" s="11" t="s">
        <v>29</v>
      </c>
      <c r="G151" s="10" t="s">
        <v>571</v>
      </c>
      <c r="H151" s="10" t="s">
        <v>31</v>
      </c>
      <c r="I151" s="10" t="s">
        <v>639</v>
      </c>
      <c r="J151" s="10" t="s">
        <v>640</v>
      </c>
      <c r="K151" s="10" t="s">
        <v>641</v>
      </c>
      <c r="L151" s="12"/>
      <c r="M151" s="13" t="s">
        <v>642</v>
      </c>
    </row>
    <row r="152" customFormat="false" ht="33.75" hidden="false" customHeight="true" outlineLevel="0" collapsed="false">
      <c r="B152" s="9" t="n">
        <v>144</v>
      </c>
      <c r="C152" s="10" t="s">
        <v>643</v>
      </c>
      <c r="D152" s="10" t="s">
        <v>644</v>
      </c>
      <c r="E152" s="10" t="s">
        <v>59</v>
      </c>
      <c r="F152" s="11" t="s">
        <v>29</v>
      </c>
      <c r="G152" s="10" t="s">
        <v>571</v>
      </c>
      <c r="H152" s="10" t="s">
        <v>31</v>
      </c>
      <c r="I152" s="10" t="s">
        <v>645</v>
      </c>
      <c r="J152" s="10" t="s">
        <v>646</v>
      </c>
      <c r="K152" s="10" t="s">
        <v>647</v>
      </c>
      <c r="L152" s="12"/>
      <c r="M152" s="13" t="s">
        <v>648</v>
      </c>
    </row>
    <row r="153" customFormat="false" ht="33.75" hidden="false" customHeight="true" outlineLevel="0" collapsed="false">
      <c r="B153" s="9" t="n">
        <v>145</v>
      </c>
      <c r="C153" s="10" t="s">
        <v>649</v>
      </c>
      <c r="D153" s="10" t="s">
        <v>650</v>
      </c>
      <c r="E153" s="10" t="s">
        <v>59</v>
      </c>
      <c r="F153" s="11" t="s">
        <v>29</v>
      </c>
      <c r="G153" s="10" t="s">
        <v>571</v>
      </c>
      <c r="H153" s="10" t="s">
        <v>31</v>
      </c>
      <c r="I153" s="10" t="s">
        <v>219</v>
      </c>
      <c r="J153" s="10" t="s">
        <v>651</v>
      </c>
      <c r="K153" s="10"/>
      <c r="L153" s="12"/>
      <c r="M153" s="13" t="s">
        <v>652</v>
      </c>
    </row>
    <row r="154" customFormat="false" ht="90" hidden="false" customHeight="true" outlineLevel="0" collapsed="false">
      <c r="B154" s="9" t="n">
        <v>146</v>
      </c>
      <c r="C154" s="10" t="s">
        <v>649</v>
      </c>
      <c r="D154" s="10" t="s">
        <v>653</v>
      </c>
      <c r="E154" s="10" t="s">
        <v>654</v>
      </c>
      <c r="F154" s="11" t="s">
        <v>29</v>
      </c>
      <c r="G154" s="10" t="s">
        <v>203</v>
      </c>
      <c r="H154" s="10" t="s">
        <v>31</v>
      </c>
      <c r="I154" s="10" t="s">
        <v>219</v>
      </c>
      <c r="J154" s="10" t="s">
        <v>655</v>
      </c>
      <c r="K154" s="10"/>
      <c r="L154" s="12"/>
      <c r="M154" s="13" t="s">
        <v>635</v>
      </c>
    </row>
    <row r="155" customFormat="false" ht="103.5" hidden="false" customHeight="true" outlineLevel="0" collapsed="false">
      <c r="B155" s="9" t="n">
        <v>147</v>
      </c>
      <c r="C155" s="10" t="s">
        <v>649</v>
      </c>
      <c r="D155" s="10" t="s">
        <v>656</v>
      </c>
      <c r="E155" s="10" t="s">
        <v>657</v>
      </c>
      <c r="F155" s="11" t="s">
        <v>29</v>
      </c>
      <c r="G155" s="10" t="s">
        <v>571</v>
      </c>
      <c r="H155" s="10" t="s">
        <v>31</v>
      </c>
      <c r="I155" s="10" t="s">
        <v>658</v>
      </c>
      <c r="J155" s="10" t="s">
        <v>659</v>
      </c>
      <c r="K155" s="10"/>
      <c r="L155" s="12"/>
      <c r="M155" s="13" t="s">
        <v>660</v>
      </c>
    </row>
    <row r="156" customFormat="false" ht="33.75" hidden="false" customHeight="true" outlineLevel="0" collapsed="false">
      <c r="B156" s="9" t="n">
        <v>148</v>
      </c>
      <c r="C156" s="10" t="s">
        <v>661</v>
      </c>
      <c r="D156" s="10" t="s">
        <v>662</v>
      </c>
      <c r="E156" s="10" t="s">
        <v>59</v>
      </c>
      <c r="F156" s="11" t="s">
        <v>29</v>
      </c>
      <c r="G156" s="10" t="s">
        <v>218</v>
      </c>
      <c r="H156" s="10" t="s">
        <v>210</v>
      </c>
      <c r="I156" s="10" t="s">
        <v>663</v>
      </c>
      <c r="J156" s="10" t="s">
        <v>664</v>
      </c>
      <c r="K156" s="10" t="s">
        <v>665</v>
      </c>
      <c r="L156" s="12"/>
      <c r="M156" s="13" t="s">
        <v>666</v>
      </c>
    </row>
    <row r="157" customFormat="false" ht="61.5" hidden="false" customHeight="true" outlineLevel="0" collapsed="false">
      <c r="B157" s="9" t="n">
        <v>149</v>
      </c>
      <c r="C157" s="10" t="s">
        <v>661</v>
      </c>
      <c r="D157" s="10" t="s">
        <v>667</v>
      </c>
      <c r="E157" s="10" t="s">
        <v>668</v>
      </c>
      <c r="F157" s="11" t="s">
        <v>29</v>
      </c>
      <c r="G157" s="10" t="s">
        <v>175</v>
      </c>
      <c r="H157" s="10" t="s">
        <v>31</v>
      </c>
      <c r="I157" s="10" t="s">
        <v>669</v>
      </c>
      <c r="J157" s="10" t="s">
        <v>670</v>
      </c>
      <c r="K157" s="10" t="s">
        <v>671</v>
      </c>
      <c r="L157" s="12"/>
      <c r="M157" s="13" t="s">
        <v>31</v>
      </c>
    </row>
    <row r="158" customFormat="false" ht="61.5" hidden="false" customHeight="true" outlineLevel="0" collapsed="false">
      <c r="B158" s="9" t="n">
        <v>150</v>
      </c>
      <c r="C158" s="10" t="s">
        <v>661</v>
      </c>
      <c r="D158" s="10" t="s">
        <v>672</v>
      </c>
      <c r="E158" s="10" t="s">
        <v>673</v>
      </c>
      <c r="F158" s="11" t="s">
        <v>29</v>
      </c>
      <c r="G158" s="10" t="s">
        <v>175</v>
      </c>
      <c r="H158" s="10" t="s">
        <v>31</v>
      </c>
      <c r="I158" s="10" t="s">
        <v>674</v>
      </c>
      <c r="J158" s="10" t="s">
        <v>675</v>
      </c>
      <c r="K158" s="10"/>
      <c r="L158" s="12"/>
      <c r="M158" s="13" t="s">
        <v>31</v>
      </c>
    </row>
  </sheetData>
  <autoFilter ref="B8:M158"/>
  <conditionalFormatting sqref="F9:F158">
    <cfRule type="cellIs" priority="2" operator="equal" aboveAverage="0" equalAverage="0" bottom="0" percent="0" rank="0" text="" dxfId="13">
      <formula>"Completed"</formula>
    </cfRule>
    <cfRule type="cellIs" priority="3" operator="equal" aboveAverage="0" equalAverage="0" bottom="0" percent="0" rank="0" text="" dxfId="14">
      <formula>"In Progress"</formula>
    </cfRule>
    <cfRule type="cellIs" priority="4" operator="equal" aboveAverage="0" equalAverage="0" bottom="0" percent="0" rank="0" text="" dxfId="15">
      <formula>"In Review"</formula>
    </cfRule>
    <cfRule type="cellIs" priority="5" operator="equal" aboveAverage="0" equalAverage="0" bottom="0" percent="0" rank="0" text="" dxfId="16">
      <formula>"Planned"</formula>
    </cfRule>
  </conditionalFormatting>
  <dataValidations count="1">
    <dataValidation allowBlank="false" error="Choose Completed, In Progress, In Review or Planned." errorStyle="stop" errorTitle="Status" operator="between" showDropDown="false" showErrorMessage="false" showInputMessage="false" sqref="F9:F158" type="list">
      <formula1>"Completed,In Progress,In Review,Planned"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75"/>
    <col collapsed="false" customWidth="true" hidden="false" outlineLevel="0" max="2" min="2" style="0" width="46"/>
    <col collapsed="false" customWidth="true" hidden="false" outlineLevel="0" max="3" min="3" style="0" width="12"/>
    <col collapsed="false" customWidth="true" hidden="false" outlineLevel="0" max="7" min="4" style="0" width="13"/>
    <col collapsed="false" customWidth="true" hidden="false" outlineLevel="0" max="8" min="8" style="0" width="15"/>
  </cols>
  <sheetData>
    <row r="2" customFormat="false" ht="19.7" hidden="false" customHeight="false" outlineLevel="0" collapsed="false">
      <c r="B2" s="14" t="s">
        <v>676</v>
      </c>
    </row>
    <row r="4" customFormat="false" ht="15" hidden="false" customHeight="false" outlineLevel="0" collapsed="false">
      <c r="B4" s="15" t="s">
        <v>15</v>
      </c>
      <c r="C4" s="16" t="s">
        <v>677</v>
      </c>
      <c r="D4" s="16" t="s">
        <v>29</v>
      </c>
      <c r="E4" s="16" t="s">
        <v>72</v>
      </c>
      <c r="F4" s="16" t="s">
        <v>300</v>
      </c>
      <c r="G4" s="16" t="s">
        <v>86</v>
      </c>
      <c r="H4" s="16" t="s">
        <v>678</v>
      </c>
    </row>
    <row r="5" customFormat="false" ht="15" hidden="false" customHeight="false" outlineLevel="0" collapsed="false">
      <c r="B5" s="17" t="s">
        <v>26</v>
      </c>
      <c r="C5" s="18" t="n">
        <f aca="false">COUNTIF('Master Requirements Tracker'!$C$9:$C$158,B5)</f>
        <v>8</v>
      </c>
      <c r="D5" s="18" t="n">
        <f aca="false">COUNTIFS('Master Requirements Tracker'!$C$9:$C$158,B5,'Master Requirements Tracker'!$F$9:$F$158,"Completed")</f>
        <v>8</v>
      </c>
      <c r="E5" s="18" t="n">
        <f aca="false">COUNTIFS('Master Requirements Tracker'!$C$9:$C$158,B5,'Master Requirements Tracker'!$F$9:$F$158,"In Progress")</f>
        <v>0</v>
      </c>
      <c r="F5" s="18" t="n">
        <f aca="false">COUNTIFS('Master Requirements Tracker'!$C$9:$C$158,B5,'Master Requirements Tracker'!$F$9:$F$158,"In Review")</f>
        <v>0</v>
      </c>
      <c r="G5" s="18" t="n">
        <f aca="false">COUNTIFS('Master Requirements Tracker'!$C$9:$C$158,B5,'Master Requirements Tracker'!$F$9:$F$158,"Planned")</f>
        <v>0</v>
      </c>
      <c r="H5" s="19" t="n">
        <f aca="false">IF(C5&gt;0,D5/C5,0)</f>
        <v>1</v>
      </c>
    </row>
    <row r="6" customFormat="false" ht="15" hidden="false" customHeight="false" outlineLevel="0" collapsed="false">
      <c r="B6" s="17" t="s">
        <v>65</v>
      </c>
      <c r="C6" s="18" t="n">
        <f aca="false">COUNTIF('Master Requirements Tracker'!$C$9:$C$158,B6)</f>
        <v>10</v>
      </c>
      <c r="D6" s="18" t="n">
        <f aca="false">COUNTIFS('Master Requirements Tracker'!$C$9:$C$158,B6,'Master Requirements Tracker'!$F$9:$F$158,"Completed")</f>
        <v>6</v>
      </c>
      <c r="E6" s="18" t="n">
        <f aca="false">COUNTIFS('Master Requirements Tracker'!$C$9:$C$158,B6,'Master Requirements Tracker'!$F$9:$F$158,"In Progress")</f>
        <v>3</v>
      </c>
      <c r="F6" s="18" t="n">
        <f aca="false">COUNTIFS('Master Requirements Tracker'!$C$9:$C$158,B6,'Master Requirements Tracker'!$F$9:$F$158,"In Review")</f>
        <v>0</v>
      </c>
      <c r="G6" s="18" t="n">
        <f aca="false">COUNTIFS('Master Requirements Tracker'!$C$9:$C$158,B6,'Master Requirements Tracker'!$F$9:$F$158,"Planned")</f>
        <v>1</v>
      </c>
      <c r="H6" s="19" t="n">
        <f aca="false">IF(C6&gt;0,D6/C6,0)</f>
        <v>0.6</v>
      </c>
    </row>
    <row r="7" customFormat="false" ht="15" hidden="false" customHeight="false" outlineLevel="0" collapsed="false">
      <c r="B7" s="17" t="s">
        <v>111</v>
      </c>
      <c r="C7" s="18" t="n">
        <f aca="false">COUNTIF('Master Requirements Tracker'!$C$9:$C$158,B7)</f>
        <v>3</v>
      </c>
      <c r="D7" s="18" t="n">
        <f aca="false">COUNTIFS('Master Requirements Tracker'!$C$9:$C$158,B7,'Master Requirements Tracker'!$F$9:$F$158,"Completed")</f>
        <v>3</v>
      </c>
      <c r="E7" s="18" t="n">
        <f aca="false">COUNTIFS('Master Requirements Tracker'!$C$9:$C$158,B7,'Master Requirements Tracker'!$F$9:$F$158,"In Progress")</f>
        <v>0</v>
      </c>
      <c r="F7" s="18" t="n">
        <f aca="false">COUNTIFS('Master Requirements Tracker'!$C$9:$C$158,B7,'Master Requirements Tracker'!$F$9:$F$158,"In Review")</f>
        <v>0</v>
      </c>
      <c r="G7" s="18" t="n">
        <f aca="false">COUNTIFS('Master Requirements Tracker'!$C$9:$C$158,B7,'Master Requirements Tracker'!$F$9:$F$158,"Planned")</f>
        <v>0</v>
      </c>
      <c r="H7" s="19" t="n">
        <f aca="false">IF(C7&gt;0,D7/C7,0)</f>
        <v>1</v>
      </c>
    </row>
    <row r="8" customFormat="false" ht="15" hidden="false" customHeight="false" outlineLevel="0" collapsed="false">
      <c r="B8" s="17" t="s">
        <v>125</v>
      </c>
      <c r="C8" s="18" t="n">
        <f aca="false">COUNTIF('Master Requirements Tracker'!$C$9:$C$158,B8)</f>
        <v>13</v>
      </c>
      <c r="D8" s="18" t="n">
        <f aca="false">COUNTIFS('Master Requirements Tracker'!$C$9:$C$158,B8,'Master Requirements Tracker'!$F$9:$F$158,"Completed")</f>
        <v>13</v>
      </c>
      <c r="E8" s="18" t="n">
        <f aca="false">COUNTIFS('Master Requirements Tracker'!$C$9:$C$158,B8,'Master Requirements Tracker'!$F$9:$F$158,"In Progress")</f>
        <v>0</v>
      </c>
      <c r="F8" s="18" t="n">
        <f aca="false">COUNTIFS('Master Requirements Tracker'!$C$9:$C$158,B8,'Master Requirements Tracker'!$F$9:$F$158,"In Review")</f>
        <v>0</v>
      </c>
      <c r="G8" s="18" t="n">
        <f aca="false">COUNTIFS('Master Requirements Tracker'!$C$9:$C$158,B8,'Master Requirements Tracker'!$F$9:$F$158,"Planned")</f>
        <v>0</v>
      </c>
      <c r="H8" s="19" t="n">
        <f aca="false">IF(C8&gt;0,D8/C8,0)</f>
        <v>1</v>
      </c>
    </row>
    <row r="9" customFormat="false" ht="15" hidden="false" customHeight="false" outlineLevel="0" collapsed="false">
      <c r="B9" s="17" t="s">
        <v>179</v>
      </c>
      <c r="C9" s="18" t="n">
        <f aca="false">COUNTIF('Master Requirements Tracker'!$C$9:$C$158,B9)</f>
        <v>1</v>
      </c>
      <c r="D9" s="18" t="n">
        <f aca="false">COUNTIFS('Master Requirements Tracker'!$C$9:$C$158,B9,'Master Requirements Tracker'!$F$9:$F$158,"Completed")</f>
        <v>1</v>
      </c>
      <c r="E9" s="18" t="n">
        <f aca="false">COUNTIFS('Master Requirements Tracker'!$C$9:$C$158,B9,'Master Requirements Tracker'!$F$9:$F$158,"In Progress")</f>
        <v>0</v>
      </c>
      <c r="F9" s="18" t="n">
        <f aca="false">COUNTIFS('Master Requirements Tracker'!$C$9:$C$158,B9,'Master Requirements Tracker'!$F$9:$F$158,"In Review")</f>
        <v>0</v>
      </c>
      <c r="G9" s="18" t="n">
        <f aca="false">COUNTIFS('Master Requirements Tracker'!$C$9:$C$158,B9,'Master Requirements Tracker'!$F$9:$F$158,"Planned")</f>
        <v>0</v>
      </c>
      <c r="H9" s="19" t="n">
        <f aca="false">IF(C9&gt;0,D9/C9,0)</f>
        <v>1</v>
      </c>
    </row>
    <row r="10" customFormat="false" ht="15" hidden="false" customHeight="false" outlineLevel="0" collapsed="false">
      <c r="B10" s="17" t="s">
        <v>184</v>
      </c>
      <c r="C10" s="18" t="n">
        <f aca="false">COUNTIF('Master Requirements Tracker'!$C$9:$C$158,B10)</f>
        <v>2</v>
      </c>
      <c r="D10" s="18" t="n">
        <f aca="false">COUNTIFS('Master Requirements Tracker'!$C$9:$C$158,B10,'Master Requirements Tracker'!$F$9:$F$158,"Completed")</f>
        <v>2</v>
      </c>
      <c r="E10" s="18" t="n">
        <f aca="false">COUNTIFS('Master Requirements Tracker'!$C$9:$C$158,B10,'Master Requirements Tracker'!$F$9:$F$158,"In Progress")</f>
        <v>0</v>
      </c>
      <c r="F10" s="18" t="n">
        <f aca="false">COUNTIFS('Master Requirements Tracker'!$C$9:$C$158,B10,'Master Requirements Tracker'!$F$9:$F$158,"In Review")</f>
        <v>0</v>
      </c>
      <c r="G10" s="18" t="n">
        <f aca="false">COUNTIFS('Master Requirements Tracker'!$C$9:$C$158,B10,'Master Requirements Tracker'!$F$9:$F$158,"Planned")</f>
        <v>0</v>
      </c>
      <c r="H10" s="19" t="n">
        <f aca="false">IF(C10&gt;0,D10/C10,0)</f>
        <v>1</v>
      </c>
    </row>
    <row r="11" customFormat="false" ht="15" hidden="false" customHeight="false" outlineLevel="0" collapsed="false">
      <c r="B11" s="17" t="s">
        <v>194</v>
      </c>
      <c r="C11" s="18" t="n">
        <f aca="false">COUNTIF('Master Requirements Tracker'!$C$9:$C$158,B11)</f>
        <v>3</v>
      </c>
      <c r="D11" s="18" t="n">
        <f aca="false">COUNTIFS('Master Requirements Tracker'!$C$9:$C$158,B11,'Master Requirements Tracker'!$F$9:$F$158,"Completed")</f>
        <v>3</v>
      </c>
      <c r="E11" s="18" t="n">
        <f aca="false">COUNTIFS('Master Requirements Tracker'!$C$9:$C$158,B11,'Master Requirements Tracker'!$F$9:$F$158,"In Progress")</f>
        <v>0</v>
      </c>
      <c r="F11" s="18" t="n">
        <f aca="false">COUNTIFS('Master Requirements Tracker'!$C$9:$C$158,B11,'Master Requirements Tracker'!$F$9:$F$158,"In Review")</f>
        <v>0</v>
      </c>
      <c r="G11" s="18" t="n">
        <f aca="false">COUNTIFS('Master Requirements Tracker'!$C$9:$C$158,B11,'Master Requirements Tracker'!$F$9:$F$158,"Planned")</f>
        <v>0</v>
      </c>
      <c r="H11" s="19" t="n">
        <f aca="false">IF(C11&gt;0,D11/C11,0)</f>
        <v>1</v>
      </c>
    </row>
    <row r="12" customFormat="false" ht="15" hidden="false" customHeight="false" outlineLevel="0" collapsed="false">
      <c r="B12" s="17" t="s">
        <v>206</v>
      </c>
      <c r="C12" s="18" t="n">
        <f aca="false">COUNTIF('Master Requirements Tracker'!$C$9:$C$158,B12)</f>
        <v>7</v>
      </c>
      <c r="D12" s="18" t="n">
        <f aca="false">COUNTIFS('Master Requirements Tracker'!$C$9:$C$158,B12,'Master Requirements Tracker'!$F$9:$F$158,"Completed")</f>
        <v>6</v>
      </c>
      <c r="E12" s="18" t="n">
        <f aca="false">COUNTIFS('Master Requirements Tracker'!$C$9:$C$158,B12,'Master Requirements Tracker'!$F$9:$F$158,"In Progress")</f>
        <v>1</v>
      </c>
      <c r="F12" s="18" t="n">
        <f aca="false">COUNTIFS('Master Requirements Tracker'!$C$9:$C$158,B12,'Master Requirements Tracker'!$F$9:$F$158,"In Review")</f>
        <v>0</v>
      </c>
      <c r="G12" s="18" t="n">
        <f aca="false">COUNTIFS('Master Requirements Tracker'!$C$9:$C$158,B12,'Master Requirements Tracker'!$F$9:$F$158,"Planned")</f>
        <v>0</v>
      </c>
      <c r="H12" s="19" t="n">
        <f aca="false">IF(C12&gt;0,D12/C12,0)</f>
        <v>0.857142857142857</v>
      </c>
    </row>
    <row r="13" customFormat="false" ht="15" hidden="false" customHeight="false" outlineLevel="0" collapsed="false">
      <c r="B13" s="17" t="s">
        <v>235</v>
      </c>
      <c r="C13" s="18" t="n">
        <f aca="false">COUNTIF('Master Requirements Tracker'!$C$9:$C$158,B13)</f>
        <v>7</v>
      </c>
      <c r="D13" s="18" t="n">
        <f aca="false">COUNTIFS('Master Requirements Tracker'!$C$9:$C$158,B13,'Master Requirements Tracker'!$F$9:$F$158,"Completed")</f>
        <v>5</v>
      </c>
      <c r="E13" s="18" t="n">
        <f aca="false">COUNTIFS('Master Requirements Tracker'!$C$9:$C$158,B13,'Master Requirements Tracker'!$F$9:$F$158,"In Progress")</f>
        <v>2</v>
      </c>
      <c r="F13" s="18" t="n">
        <f aca="false">COUNTIFS('Master Requirements Tracker'!$C$9:$C$158,B13,'Master Requirements Tracker'!$F$9:$F$158,"In Review")</f>
        <v>0</v>
      </c>
      <c r="G13" s="18" t="n">
        <f aca="false">COUNTIFS('Master Requirements Tracker'!$C$9:$C$158,B13,'Master Requirements Tracker'!$F$9:$F$158,"Planned")</f>
        <v>0</v>
      </c>
      <c r="H13" s="19" t="n">
        <f aca="false">IF(C13&gt;0,D13/C13,0)</f>
        <v>0.714285714285714</v>
      </c>
    </row>
    <row r="14" customFormat="false" ht="15" hidden="false" customHeight="false" outlineLevel="0" collapsed="false">
      <c r="B14" s="17" t="s">
        <v>267</v>
      </c>
      <c r="C14" s="18" t="n">
        <f aca="false">COUNTIF('Master Requirements Tracker'!$C$9:$C$158,B14)</f>
        <v>1</v>
      </c>
      <c r="D14" s="18" t="n">
        <f aca="false">COUNTIFS('Master Requirements Tracker'!$C$9:$C$158,B14,'Master Requirements Tracker'!$F$9:$F$158,"Completed")</f>
        <v>1</v>
      </c>
      <c r="E14" s="18" t="n">
        <f aca="false">COUNTIFS('Master Requirements Tracker'!$C$9:$C$158,B14,'Master Requirements Tracker'!$F$9:$F$158,"In Progress")</f>
        <v>0</v>
      </c>
      <c r="F14" s="18" t="n">
        <f aca="false">COUNTIFS('Master Requirements Tracker'!$C$9:$C$158,B14,'Master Requirements Tracker'!$F$9:$F$158,"In Review")</f>
        <v>0</v>
      </c>
      <c r="G14" s="18" t="n">
        <f aca="false">COUNTIFS('Master Requirements Tracker'!$C$9:$C$158,B14,'Master Requirements Tracker'!$F$9:$F$158,"Planned")</f>
        <v>0</v>
      </c>
      <c r="H14" s="19" t="n">
        <f aca="false">IF(C14&gt;0,D14/C14,0)</f>
        <v>1</v>
      </c>
    </row>
    <row r="15" customFormat="false" ht="15" hidden="false" customHeight="false" outlineLevel="0" collapsed="false">
      <c r="B15" s="17" t="s">
        <v>273</v>
      </c>
      <c r="C15" s="18" t="n">
        <f aca="false">COUNTIF('Master Requirements Tracker'!$C$9:$C$158,B15)</f>
        <v>2</v>
      </c>
      <c r="D15" s="18" t="n">
        <f aca="false">COUNTIFS('Master Requirements Tracker'!$C$9:$C$158,B15,'Master Requirements Tracker'!$F$9:$F$158,"Completed")</f>
        <v>2</v>
      </c>
      <c r="E15" s="18" t="n">
        <f aca="false">COUNTIFS('Master Requirements Tracker'!$C$9:$C$158,B15,'Master Requirements Tracker'!$F$9:$F$158,"In Progress")</f>
        <v>0</v>
      </c>
      <c r="F15" s="18" t="n">
        <f aca="false">COUNTIFS('Master Requirements Tracker'!$C$9:$C$158,B15,'Master Requirements Tracker'!$F$9:$F$158,"In Review")</f>
        <v>0</v>
      </c>
      <c r="G15" s="18" t="n">
        <f aca="false">COUNTIFS('Master Requirements Tracker'!$C$9:$C$158,B15,'Master Requirements Tracker'!$F$9:$F$158,"Planned")</f>
        <v>0</v>
      </c>
      <c r="H15" s="19" t="n">
        <f aca="false">IF(C15&gt;0,D15/C15,0)</f>
        <v>1</v>
      </c>
    </row>
    <row r="16" customFormat="false" ht="15" hidden="false" customHeight="false" outlineLevel="0" collapsed="false">
      <c r="B16" s="17" t="s">
        <v>280</v>
      </c>
      <c r="C16" s="18" t="n">
        <f aca="false">COUNTIF('Master Requirements Tracker'!$C$9:$C$158,B16)</f>
        <v>2</v>
      </c>
      <c r="D16" s="18" t="n">
        <f aca="false">COUNTIFS('Master Requirements Tracker'!$C$9:$C$158,B16,'Master Requirements Tracker'!$F$9:$F$158,"Completed")</f>
        <v>2</v>
      </c>
      <c r="E16" s="18" t="n">
        <f aca="false">COUNTIFS('Master Requirements Tracker'!$C$9:$C$158,B16,'Master Requirements Tracker'!$F$9:$F$158,"In Progress")</f>
        <v>0</v>
      </c>
      <c r="F16" s="18" t="n">
        <f aca="false">COUNTIFS('Master Requirements Tracker'!$C$9:$C$158,B16,'Master Requirements Tracker'!$F$9:$F$158,"In Review")</f>
        <v>0</v>
      </c>
      <c r="G16" s="18" t="n">
        <f aca="false">COUNTIFS('Master Requirements Tracker'!$C$9:$C$158,B16,'Master Requirements Tracker'!$F$9:$F$158,"Planned")</f>
        <v>0</v>
      </c>
      <c r="H16" s="19" t="n">
        <f aca="false">IF(C16&gt;0,D16/C16,0)</f>
        <v>1</v>
      </c>
    </row>
    <row r="17" customFormat="false" ht="15" hidden="false" customHeight="false" outlineLevel="0" collapsed="false">
      <c r="B17" s="17" t="s">
        <v>289</v>
      </c>
      <c r="C17" s="18" t="n">
        <f aca="false">COUNTIF('Master Requirements Tracker'!$C$9:$C$158,B17)</f>
        <v>3</v>
      </c>
      <c r="D17" s="18" t="n">
        <f aca="false">COUNTIFS('Master Requirements Tracker'!$C$9:$C$158,B17,'Master Requirements Tracker'!$F$9:$F$158,"Completed")</f>
        <v>2</v>
      </c>
      <c r="E17" s="18" t="n">
        <f aca="false">COUNTIFS('Master Requirements Tracker'!$C$9:$C$158,B17,'Master Requirements Tracker'!$F$9:$F$158,"In Progress")</f>
        <v>0</v>
      </c>
      <c r="F17" s="18" t="n">
        <f aca="false">COUNTIFS('Master Requirements Tracker'!$C$9:$C$158,B17,'Master Requirements Tracker'!$F$9:$F$158,"In Review")</f>
        <v>1</v>
      </c>
      <c r="G17" s="18" t="n">
        <f aca="false">COUNTIFS('Master Requirements Tracker'!$C$9:$C$158,B17,'Master Requirements Tracker'!$F$9:$F$158,"Planned")</f>
        <v>0</v>
      </c>
      <c r="H17" s="19" t="n">
        <f aca="false">IF(C17&gt;0,D17/C17,0)</f>
        <v>0.666666666666667</v>
      </c>
    </row>
    <row r="18" customFormat="false" ht="15" hidden="false" customHeight="false" outlineLevel="0" collapsed="false">
      <c r="B18" s="17" t="s">
        <v>302</v>
      </c>
      <c r="C18" s="18" t="n">
        <f aca="false">COUNTIF('Master Requirements Tracker'!$C$9:$C$158,B18)</f>
        <v>2</v>
      </c>
      <c r="D18" s="18" t="n">
        <f aca="false">COUNTIFS('Master Requirements Tracker'!$C$9:$C$158,B18,'Master Requirements Tracker'!$F$9:$F$158,"Completed")</f>
        <v>2</v>
      </c>
      <c r="E18" s="18" t="n">
        <f aca="false">COUNTIFS('Master Requirements Tracker'!$C$9:$C$158,B18,'Master Requirements Tracker'!$F$9:$F$158,"In Progress")</f>
        <v>0</v>
      </c>
      <c r="F18" s="18" t="n">
        <f aca="false">COUNTIFS('Master Requirements Tracker'!$C$9:$C$158,B18,'Master Requirements Tracker'!$F$9:$F$158,"In Review")</f>
        <v>0</v>
      </c>
      <c r="G18" s="18" t="n">
        <f aca="false">COUNTIFS('Master Requirements Tracker'!$C$9:$C$158,B18,'Master Requirements Tracker'!$F$9:$F$158,"Planned")</f>
        <v>0</v>
      </c>
      <c r="H18" s="19" t="n">
        <f aca="false">IF(C18&gt;0,D18/C18,0)</f>
        <v>1</v>
      </c>
    </row>
    <row r="19" customFormat="false" ht="15" hidden="false" customHeight="false" outlineLevel="0" collapsed="false">
      <c r="B19" s="17" t="s">
        <v>309</v>
      </c>
      <c r="C19" s="18" t="n">
        <f aca="false">COUNTIF('Master Requirements Tracker'!$C$9:$C$158,B19)</f>
        <v>4</v>
      </c>
      <c r="D19" s="18" t="n">
        <f aca="false">COUNTIFS('Master Requirements Tracker'!$C$9:$C$158,B19,'Master Requirements Tracker'!$F$9:$F$158,"Completed")</f>
        <v>4</v>
      </c>
      <c r="E19" s="18" t="n">
        <f aca="false">COUNTIFS('Master Requirements Tracker'!$C$9:$C$158,B19,'Master Requirements Tracker'!$F$9:$F$158,"In Progress")</f>
        <v>0</v>
      </c>
      <c r="F19" s="18" t="n">
        <f aca="false">COUNTIFS('Master Requirements Tracker'!$C$9:$C$158,B19,'Master Requirements Tracker'!$F$9:$F$158,"In Review")</f>
        <v>0</v>
      </c>
      <c r="G19" s="18" t="n">
        <f aca="false">COUNTIFS('Master Requirements Tracker'!$C$9:$C$158,B19,'Master Requirements Tracker'!$F$9:$F$158,"Planned")</f>
        <v>0</v>
      </c>
      <c r="H19" s="19" t="n">
        <f aca="false">IF(C19&gt;0,D19/C19,0)</f>
        <v>1</v>
      </c>
    </row>
    <row r="20" customFormat="false" ht="15" hidden="false" customHeight="false" outlineLevel="0" collapsed="false">
      <c r="B20" s="17" t="s">
        <v>322</v>
      </c>
      <c r="C20" s="18" t="n">
        <f aca="false">COUNTIF('Master Requirements Tracker'!$C$9:$C$158,B20)</f>
        <v>7</v>
      </c>
      <c r="D20" s="18" t="n">
        <f aca="false">COUNTIFS('Master Requirements Tracker'!$C$9:$C$158,B20,'Master Requirements Tracker'!$F$9:$F$158,"Completed")</f>
        <v>7</v>
      </c>
      <c r="E20" s="18" t="n">
        <f aca="false">COUNTIFS('Master Requirements Tracker'!$C$9:$C$158,B20,'Master Requirements Tracker'!$F$9:$F$158,"In Progress")</f>
        <v>0</v>
      </c>
      <c r="F20" s="18" t="n">
        <f aca="false">COUNTIFS('Master Requirements Tracker'!$C$9:$C$158,B20,'Master Requirements Tracker'!$F$9:$F$158,"In Review")</f>
        <v>0</v>
      </c>
      <c r="G20" s="18" t="n">
        <f aca="false">COUNTIFS('Master Requirements Tracker'!$C$9:$C$158,B20,'Master Requirements Tracker'!$F$9:$F$158,"Planned")</f>
        <v>0</v>
      </c>
      <c r="H20" s="19" t="n">
        <f aca="false">IF(C20&gt;0,D20/C20,0)</f>
        <v>1</v>
      </c>
    </row>
    <row r="21" customFormat="false" ht="15" hidden="false" customHeight="false" outlineLevel="0" collapsed="false">
      <c r="B21" s="17" t="s">
        <v>349</v>
      </c>
      <c r="C21" s="18" t="n">
        <f aca="false">COUNTIF('Master Requirements Tracker'!$C$9:$C$158,B21)</f>
        <v>4</v>
      </c>
      <c r="D21" s="18" t="n">
        <f aca="false">COUNTIFS('Master Requirements Tracker'!$C$9:$C$158,B21,'Master Requirements Tracker'!$F$9:$F$158,"Completed")</f>
        <v>1</v>
      </c>
      <c r="E21" s="18" t="n">
        <f aca="false">COUNTIFS('Master Requirements Tracker'!$C$9:$C$158,B21,'Master Requirements Tracker'!$F$9:$F$158,"In Progress")</f>
        <v>1</v>
      </c>
      <c r="F21" s="18" t="n">
        <f aca="false">COUNTIFS('Master Requirements Tracker'!$C$9:$C$158,B21,'Master Requirements Tracker'!$F$9:$F$158,"In Review")</f>
        <v>0</v>
      </c>
      <c r="G21" s="18" t="n">
        <f aca="false">COUNTIFS('Master Requirements Tracker'!$C$9:$C$158,B21,'Master Requirements Tracker'!$F$9:$F$158,"Planned")</f>
        <v>2</v>
      </c>
      <c r="H21" s="19" t="n">
        <f aca="false">IF(C21&gt;0,D21/C21,0)</f>
        <v>0.25</v>
      </c>
    </row>
    <row r="22" customFormat="false" ht="15" hidden="false" customHeight="false" outlineLevel="0" collapsed="false">
      <c r="B22" s="17" t="s">
        <v>364</v>
      </c>
      <c r="C22" s="18" t="n">
        <f aca="false">COUNTIF('Master Requirements Tracker'!$C$9:$C$158,B22)</f>
        <v>3</v>
      </c>
      <c r="D22" s="18" t="n">
        <f aca="false">COUNTIFS('Master Requirements Tracker'!$C$9:$C$158,B22,'Master Requirements Tracker'!$F$9:$F$158,"Completed")</f>
        <v>2</v>
      </c>
      <c r="E22" s="18" t="n">
        <f aca="false">COUNTIFS('Master Requirements Tracker'!$C$9:$C$158,B22,'Master Requirements Tracker'!$F$9:$F$158,"In Progress")</f>
        <v>0</v>
      </c>
      <c r="F22" s="18" t="n">
        <f aca="false">COUNTIFS('Master Requirements Tracker'!$C$9:$C$158,B22,'Master Requirements Tracker'!$F$9:$F$158,"In Review")</f>
        <v>0</v>
      </c>
      <c r="G22" s="18" t="n">
        <f aca="false">COUNTIFS('Master Requirements Tracker'!$C$9:$C$158,B22,'Master Requirements Tracker'!$F$9:$F$158,"Planned")</f>
        <v>1</v>
      </c>
      <c r="H22" s="19" t="n">
        <f aca="false">IF(C22&gt;0,D22/C22,0)</f>
        <v>0.666666666666667</v>
      </c>
    </row>
    <row r="23" customFormat="false" ht="15" hidden="false" customHeight="false" outlineLevel="0" collapsed="false">
      <c r="B23" s="17" t="s">
        <v>372</v>
      </c>
      <c r="C23" s="18" t="n">
        <f aca="false">COUNTIF('Master Requirements Tracker'!$C$9:$C$158,B23)</f>
        <v>3</v>
      </c>
      <c r="D23" s="18" t="n">
        <f aca="false">COUNTIFS('Master Requirements Tracker'!$C$9:$C$158,B23,'Master Requirements Tracker'!$F$9:$F$158,"Completed")</f>
        <v>1</v>
      </c>
      <c r="E23" s="18" t="n">
        <f aca="false">COUNTIFS('Master Requirements Tracker'!$C$9:$C$158,B23,'Master Requirements Tracker'!$F$9:$F$158,"In Progress")</f>
        <v>1</v>
      </c>
      <c r="F23" s="18" t="n">
        <f aca="false">COUNTIFS('Master Requirements Tracker'!$C$9:$C$158,B23,'Master Requirements Tracker'!$F$9:$F$158,"In Review")</f>
        <v>1</v>
      </c>
      <c r="G23" s="18" t="n">
        <f aca="false">COUNTIFS('Master Requirements Tracker'!$C$9:$C$158,B23,'Master Requirements Tracker'!$F$9:$F$158,"Planned")</f>
        <v>0</v>
      </c>
      <c r="H23" s="19" t="n">
        <f aca="false">IF(C23&gt;0,D23/C23,0)</f>
        <v>0.333333333333333</v>
      </c>
    </row>
    <row r="24" customFormat="false" ht="15" hidden="false" customHeight="false" outlineLevel="0" collapsed="false">
      <c r="B24" s="17" t="s">
        <v>383</v>
      </c>
      <c r="C24" s="18" t="n">
        <f aca="false">COUNTIF('Master Requirements Tracker'!$C$9:$C$158,B24)</f>
        <v>2</v>
      </c>
      <c r="D24" s="18" t="n">
        <f aca="false">COUNTIFS('Master Requirements Tracker'!$C$9:$C$158,B24,'Master Requirements Tracker'!$F$9:$F$158,"Completed")</f>
        <v>1</v>
      </c>
      <c r="E24" s="18" t="n">
        <f aca="false">COUNTIFS('Master Requirements Tracker'!$C$9:$C$158,B24,'Master Requirements Tracker'!$F$9:$F$158,"In Progress")</f>
        <v>1</v>
      </c>
      <c r="F24" s="18" t="n">
        <f aca="false">COUNTIFS('Master Requirements Tracker'!$C$9:$C$158,B24,'Master Requirements Tracker'!$F$9:$F$158,"In Review")</f>
        <v>0</v>
      </c>
      <c r="G24" s="18" t="n">
        <f aca="false">COUNTIFS('Master Requirements Tracker'!$C$9:$C$158,B24,'Master Requirements Tracker'!$F$9:$F$158,"Planned")</f>
        <v>0</v>
      </c>
      <c r="H24" s="19" t="n">
        <f aca="false">IF(C24&gt;0,D24/C24,0)</f>
        <v>0.5</v>
      </c>
    </row>
    <row r="25" customFormat="false" ht="15" hidden="false" customHeight="false" outlineLevel="0" collapsed="false">
      <c r="B25" s="17" t="s">
        <v>392</v>
      </c>
      <c r="C25" s="18" t="n">
        <f aca="false">COUNTIF('Master Requirements Tracker'!$C$9:$C$158,B25)</f>
        <v>1</v>
      </c>
      <c r="D25" s="18" t="n">
        <f aca="false">COUNTIFS('Master Requirements Tracker'!$C$9:$C$158,B25,'Master Requirements Tracker'!$F$9:$F$158,"Completed")</f>
        <v>1</v>
      </c>
      <c r="E25" s="18" t="n">
        <f aca="false">COUNTIFS('Master Requirements Tracker'!$C$9:$C$158,B25,'Master Requirements Tracker'!$F$9:$F$158,"In Progress")</f>
        <v>0</v>
      </c>
      <c r="F25" s="18" t="n">
        <f aca="false">COUNTIFS('Master Requirements Tracker'!$C$9:$C$158,B25,'Master Requirements Tracker'!$F$9:$F$158,"In Review")</f>
        <v>0</v>
      </c>
      <c r="G25" s="18" t="n">
        <f aca="false">COUNTIFS('Master Requirements Tracker'!$C$9:$C$158,B25,'Master Requirements Tracker'!$F$9:$F$158,"Planned")</f>
        <v>0</v>
      </c>
      <c r="H25" s="19" t="n">
        <f aca="false">IF(C25&gt;0,D25/C25,0)</f>
        <v>1</v>
      </c>
    </row>
    <row r="26" customFormat="false" ht="15" hidden="false" customHeight="false" outlineLevel="0" collapsed="false">
      <c r="B26" s="17" t="s">
        <v>397</v>
      </c>
      <c r="C26" s="18" t="n">
        <f aca="false">COUNTIF('Master Requirements Tracker'!$C$9:$C$158,B26)</f>
        <v>2</v>
      </c>
      <c r="D26" s="18" t="n">
        <f aca="false">COUNTIFS('Master Requirements Tracker'!$C$9:$C$158,B26,'Master Requirements Tracker'!$F$9:$F$158,"Completed")</f>
        <v>2</v>
      </c>
      <c r="E26" s="18" t="n">
        <f aca="false">COUNTIFS('Master Requirements Tracker'!$C$9:$C$158,B26,'Master Requirements Tracker'!$F$9:$F$158,"In Progress")</f>
        <v>0</v>
      </c>
      <c r="F26" s="18" t="n">
        <f aca="false">COUNTIFS('Master Requirements Tracker'!$C$9:$C$158,B26,'Master Requirements Tracker'!$F$9:$F$158,"In Review")</f>
        <v>0</v>
      </c>
      <c r="G26" s="18" t="n">
        <f aca="false">COUNTIFS('Master Requirements Tracker'!$C$9:$C$158,B26,'Master Requirements Tracker'!$F$9:$F$158,"Planned")</f>
        <v>0</v>
      </c>
      <c r="H26" s="19" t="n">
        <f aca="false">IF(C26&gt;0,D26/C26,0)</f>
        <v>1</v>
      </c>
    </row>
    <row r="27" customFormat="false" ht="15" hidden="false" customHeight="false" outlineLevel="0" collapsed="false">
      <c r="B27" s="17" t="s">
        <v>404</v>
      </c>
      <c r="C27" s="18" t="n">
        <f aca="false">COUNTIF('Master Requirements Tracker'!$C$9:$C$158,B27)</f>
        <v>4</v>
      </c>
      <c r="D27" s="18" t="n">
        <f aca="false">COUNTIFS('Master Requirements Tracker'!$C$9:$C$158,B27,'Master Requirements Tracker'!$F$9:$F$158,"Completed")</f>
        <v>4</v>
      </c>
      <c r="E27" s="18" t="n">
        <f aca="false">COUNTIFS('Master Requirements Tracker'!$C$9:$C$158,B27,'Master Requirements Tracker'!$F$9:$F$158,"In Progress")</f>
        <v>0</v>
      </c>
      <c r="F27" s="18" t="n">
        <f aca="false">COUNTIFS('Master Requirements Tracker'!$C$9:$C$158,B27,'Master Requirements Tracker'!$F$9:$F$158,"In Review")</f>
        <v>0</v>
      </c>
      <c r="G27" s="18" t="n">
        <f aca="false">COUNTIFS('Master Requirements Tracker'!$C$9:$C$158,B27,'Master Requirements Tracker'!$F$9:$F$158,"Planned")</f>
        <v>0</v>
      </c>
      <c r="H27" s="19" t="n">
        <f aca="false">IF(C27&gt;0,D27/C27,0)</f>
        <v>1</v>
      </c>
    </row>
    <row r="28" customFormat="false" ht="15" hidden="false" customHeight="false" outlineLevel="0" collapsed="false">
      <c r="B28" s="17" t="s">
        <v>422</v>
      </c>
      <c r="C28" s="18" t="n">
        <f aca="false">COUNTIF('Master Requirements Tracker'!$C$9:$C$158,B28)</f>
        <v>5</v>
      </c>
      <c r="D28" s="18" t="n">
        <f aca="false">COUNTIFS('Master Requirements Tracker'!$C$9:$C$158,B28,'Master Requirements Tracker'!$F$9:$F$158,"Completed")</f>
        <v>4</v>
      </c>
      <c r="E28" s="18" t="n">
        <f aca="false">COUNTIFS('Master Requirements Tracker'!$C$9:$C$158,B28,'Master Requirements Tracker'!$F$9:$F$158,"In Progress")</f>
        <v>1</v>
      </c>
      <c r="F28" s="18" t="n">
        <f aca="false">COUNTIFS('Master Requirements Tracker'!$C$9:$C$158,B28,'Master Requirements Tracker'!$F$9:$F$158,"In Review")</f>
        <v>0</v>
      </c>
      <c r="G28" s="18" t="n">
        <f aca="false">COUNTIFS('Master Requirements Tracker'!$C$9:$C$158,B28,'Master Requirements Tracker'!$F$9:$F$158,"Planned")</f>
        <v>0</v>
      </c>
      <c r="H28" s="19" t="n">
        <f aca="false">IF(C28&gt;0,D28/C28,0)</f>
        <v>0.8</v>
      </c>
    </row>
    <row r="29" customFormat="false" ht="15" hidden="false" customHeight="false" outlineLevel="0" collapsed="false">
      <c r="B29" s="17" t="s">
        <v>444</v>
      </c>
      <c r="C29" s="18" t="n">
        <f aca="false">COUNTIF('Master Requirements Tracker'!$C$9:$C$158,B29)</f>
        <v>3</v>
      </c>
      <c r="D29" s="18" t="n">
        <f aca="false">COUNTIFS('Master Requirements Tracker'!$C$9:$C$158,B29,'Master Requirements Tracker'!$F$9:$F$158,"Completed")</f>
        <v>3</v>
      </c>
      <c r="E29" s="18" t="n">
        <f aca="false">COUNTIFS('Master Requirements Tracker'!$C$9:$C$158,B29,'Master Requirements Tracker'!$F$9:$F$158,"In Progress")</f>
        <v>0</v>
      </c>
      <c r="F29" s="18" t="n">
        <f aca="false">COUNTIFS('Master Requirements Tracker'!$C$9:$C$158,B29,'Master Requirements Tracker'!$F$9:$F$158,"In Review")</f>
        <v>0</v>
      </c>
      <c r="G29" s="18" t="n">
        <f aca="false">COUNTIFS('Master Requirements Tracker'!$C$9:$C$158,B29,'Master Requirements Tracker'!$F$9:$F$158,"Planned")</f>
        <v>0</v>
      </c>
      <c r="H29" s="19" t="n">
        <f aca="false">IF(C29&gt;0,D29/C29,0)</f>
        <v>1</v>
      </c>
    </row>
    <row r="30" customFormat="false" ht="15" hidden="false" customHeight="false" outlineLevel="0" collapsed="false">
      <c r="B30" s="17" t="s">
        <v>456</v>
      </c>
      <c r="C30" s="18" t="n">
        <f aca="false">COUNTIF('Master Requirements Tracker'!$C$9:$C$158,B30)</f>
        <v>6</v>
      </c>
      <c r="D30" s="18" t="n">
        <f aca="false">COUNTIFS('Master Requirements Tracker'!$C$9:$C$158,B30,'Master Requirements Tracker'!$F$9:$F$158,"Completed")</f>
        <v>5</v>
      </c>
      <c r="E30" s="18" t="n">
        <f aca="false">COUNTIFS('Master Requirements Tracker'!$C$9:$C$158,B30,'Master Requirements Tracker'!$F$9:$F$158,"In Progress")</f>
        <v>1</v>
      </c>
      <c r="F30" s="18" t="n">
        <f aca="false">COUNTIFS('Master Requirements Tracker'!$C$9:$C$158,B30,'Master Requirements Tracker'!$F$9:$F$158,"In Review")</f>
        <v>0</v>
      </c>
      <c r="G30" s="18" t="n">
        <f aca="false">COUNTIFS('Master Requirements Tracker'!$C$9:$C$158,B30,'Master Requirements Tracker'!$F$9:$F$158,"Planned")</f>
        <v>0</v>
      </c>
      <c r="H30" s="19" t="n">
        <f aca="false">IF(C30&gt;0,D30/C30,0)</f>
        <v>0.833333333333333</v>
      </c>
    </row>
    <row r="31" customFormat="false" ht="15" hidden="false" customHeight="false" outlineLevel="0" collapsed="false">
      <c r="B31" s="17" t="s">
        <v>478</v>
      </c>
      <c r="C31" s="18" t="n">
        <f aca="false">COUNTIF('Master Requirements Tracker'!$C$9:$C$158,B31)</f>
        <v>1</v>
      </c>
      <c r="D31" s="18" t="n">
        <f aca="false">COUNTIFS('Master Requirements Tracker'!$C$9:$C$158,B31,'Master Requirements Tracker'!$F$9:$F$158,"Completed")</f>
        <v>1</v>
      </c>
      <c r="E31" s="18" t="n">
        <f aca="false">COUNTIFS('Master Requirements Tracker'!$C$9:$C$158,B31,'Master Requirements Tracker'!$F$9:$F$158,"In Progress")</f>
        <v>0</v>
      </c>
      <c r="F31" s="18" t="n">
        <f aca="false">COUNTIFS('Master Requirements Tracker'!$C$9:$C$158,B31,'Master Requirements Tracker'!$F$9:$F$158,"In Review")</f>
        <v>0</v>
      </c>
      <c r="G31" s="18" t="n">
        <f aca="false">COUNTIFS('Master Requirements Tracker'!$C$9:$C$158,B31,'Master Requirements Tracker'!$F$9:$F$158,"Planned")</f>
        <v>0</v>
      </c>
      <c r="H31" s="19" t="n">
        <f aca="false">IF(C31&gt;0,D31/C31,0)</f>
        <v>1</v>
      </c>
    </row>
    <row r="32" customFormat="false" ht="15" hidden="false" customHeight="false" outlineLevel="0" collapsed="false">
      <c r="B32" s="17" t="s">
        <v>482</v>
      </c>
      <c r="C32" s="18" t="n">
        <f aca="false">COUNTIF('Master Requirements Tracker'!$C$9:$C$158,B32)</f>
        <v>7</v>
      </c>
      <c r="D32" s="18" t="n">
        <f aca="false">COUNTIFS('Master Requirements Tracker'!$C$9:$C$158,B32,'Master Requirements Tracker'!$F$9:$F$158,"Completed")</f>
        <v>7</v>
      </c>
      <c r="E32" s="18" t="n">
        <f aca="false">COUNTIFS('Master Requirements Tracker'!$C$9:$C$158,B32,'Master Requirements Tracker'!$F$9:$F$158,"In Progress")</f>
        <v>0</v>
      </c>
      <c r="F32" s="18" t="n">
        <f aca="false">COUNTIFS('Master Requirements Tracker'!$C$9:$C$158,B32,'Master Requirements Tracker'!$F$9:$F$158,"In Review")</f>
        <v>0</v>
      </c>
      <c r="G32" s="18" t="n">
        <f aca="false">COUNTIFS('Master Requirements Tracker'!$C$9:$C$158,B32,'Master Requirements Tracker'!$F$9:$F$158,"Planned")</f>
        <v>0</v>
      </c>
      <c r="H32" s="19" t="n">
        <f aca="false">IF(C32&gt;0,D32/C32,0)</f>
        <v>1</v>
      </c>
    </row>
    <row r="33" customFormat="false" ht="15" hidden="false" customHeight="false" outlineLevel="0" collapsed="false">
      <c r="B33" s="17" t="s">
        <v>513</v>
      </c>
      <c r="C33" s="18" t="n">
        <f aca="false">COUNTIF('Master Requirements Tracker'!$C$9:$C$158,B33)</f>
        <v>4</v>
      </c>
      <c r="D33" s="18" t="n">
        <f aca="false">COUNTIFS('Master Requirements Tracker'!$C$9:$C$158,B33,'Master Requirements Tracker'!$F$9:$F$158,"Completed")</f>
        <v>4</v>
      </c>
      <c r="E33" s="18" t="n">
        <f aca="false">COUNTIFS('Master Requirements Tracker'!$C$9:$C$158,B33,'Master Requirements Tracker'!$F$9:$F$158,"In Progress")</f>
        <v>0</v>
      </c>
      <c r="F33" s="18" t="n">
        <f aca="false">COUNTIFS('Master Requirements Tracker'!$C$9:$C$158,B33,'Master Requirements Tracker'!$F$9:$F$158,"In Review")</f>
        <v>0</v>
      </c>
      <c r="G33" s="18" t="n">
        <f aca="false">COUNTIFS('Master Requirements Tracker'!$C$9:$C$158,B33,'Master Requirements Tracker'!$F$9:$F$158,"Planned")</f>
        <v>0</v>
      </c>
      <c r="H33" s="19" t="n">
        <f aca="false">IF(C33&gt;0,D33/C33,0)</f>
        <v>1</v>
      </c>
    </row>
    <row r="34" customFormat="false" ht="15" hidden="false" customHeight="false" outlineLevel="0" collapsed="false">
      <c r="B34" s="17" t="s">
        <v>527</v>
      </c>
      <c r="C34" s="18" t="n">
        <f aca="false">COUNTIF('Master Requirements Tracker'!$C$9:$C$158,B34)</f>
        <v>3</v>
      </c>
      <c r="D34" s="18" t="n">
        <f aca="false">COUNTIFS('Master Requirements Tracker'!$C$9:$C$158,B34,'Master Requirements Tracker'!$F$9:$F$158,"Completed")</f>
        <v>2</v>
      </c>
      <c r="E34" s="18" t="n">
        <f aca="false">COUNTIFS('Master Requirements Tracker'!$C$9:$C$158,B34,'Master Requirements Tracker'!$F$9:$F$158,"In Progress")</f>
        <v>1</v>
      </c>
      <c r="F34" s="18" t="n">
        <f aca="false">COUNTIFS('Master Requirements Tracker'!$C$9:$C$158,B34,'Master Requirements Tracker'!$F$9:$F$158,"In Review")</f>
        <v>0</v>
      </c>
      <c r="G34" s="18" t="n">
        <f aca="false">COUNTIFS('Master Requirements Tracker'!$C$9:$C$158,B34,'Master Requirements Tracker'!$F$9:$F$158,"Planned")</f>
        <v>0</v>
      </c>
      <c r="H34" s="19" t="n">
        <f aca="false">IF(C34&gt;0,D34/C34,0)</f>
        <v>0.666666666666667</v>
      </c>
    </row>
    <row r="35" customFormat="false" ht="15" hidden="false" customHeight="false" outlineLevel="0" collapsed="false">
      <c r="B35" s="17" t="s">
        <v>543</v>
      </c>
      <c r="C35" s="18" t="n">
        <f aca="false">COUNTIF('Master Requirements Tracker'!$C$9:$C$158,B35)</f>
        <v>3</v>
      </c>
      <c r="D35" s="18" t="n">
        <f aca="false">COUNTIFS('Master Requirements Tracker'!$C$9:$C$158,B35,'Master Requirements Tracker'!$F$9:$F$158,"Completed")</f>
        <v>3</v>
      </c>
      <c r="E35" s="18" t="n">
        <f aca="false">COUNTIFS('Master Requirements Tracker'!$C$9:$C$158,B35,'Master Requirements Tracker'!$F$9:$F$158,"In Progress")</f>
        <v>0</v>
      </c>
      <c r="F35" s="18" t="n">
        <f aca="false">COUNTIFS('Master Requirements Tracker'!$C$9:$C$158,B35,'Master Requirements Tracker'!$F$9:$F$158,"In Review")</f>
        <v>0</v>
      </c>
      <c r="G35" s="18" t="n">
        <f aca="false">COUNTIFS('Master Requirements Tracker'!$C$9:$C$158,B35,'Master Requirements Tracker'!$F$9:$F$158,"Planned")</f>
        <v>0</v>
      </c>
      <c r="H35" s="19" t="n">
        <f aca="false">IF(C35&gt;0,D35/C35,0)</f>
        <v>1</v>
      </c>
    </row>
    <row r="36" customFormat="false" ht="15" hidden="false" customHeight="false" outlineLevel="0" collapsed="false">
      <c r="B36" s="17" t="s">
        <v>556</v>
      </c>
      <c r="C36" s="18" t="n">
        <f aca="false">COUNTIF('Master Requirements Tracker'!$C$9:$C$158,B36)</f>
        <v>1</v>
      </c>
      <c r="D36" s="18" t="n">
        <f aca="false">COUNTIFS('Master Requirements Tracker'!$C$9:$C$158,B36,'Master Requirements Tracker'!$F$9:$F$158,"Completed")</f>
        <v>1</v>
      </c>
      <c r="E36" s="18" t="n">
        <f aca="false">COUNTIFS('Master Requirements Tracker'!$C$9:$C$158,B36,'Master Requirements Tracker'!$F$9:$F$158,"In Progress")</f>
        <v>0</v>
      </c>
      <c r="F36" s="18" t="n">
        <f aca="false">COUNTIFS('Master Requirements Tracker'!$C$9:$C$158,B36,'Master Requirements Tracker'!$F$9:$F$158,"In Review")</f>
        <v>0</v>
      </c>
      <c r="G36" s="18" t="n">
        <f aca="false">COUNTIFS('Master Requirements Tracker'!$C$9:$C$158,B36,'Master Requirements Tracker'!$F$9:$F$158,"Planned")</f>
        <v>0</v>
      </c>
      <c r="H36" s="19" t="n">
        <f aca="false">IF(C36&gt;0,D36/C36,0)</f>
        <v>1</v>
      </c>
    </row>
    <row r="37" customFormat="false" ht="15" hidden="false" customHeight="false" outlineLevel="0" collapsed="false">
      <c r="B37" s="17" t="s">
        <v>559</v>
      </c>
      <c r="C37" s="18" t="n">
        <f aca="false">COUNTIF('Master Requirements Tracker'!$C$9:$C$158,B37)</f>
        <v>2</v>
      </c>
      <c r="D37" s="18" t="n">
        <f aca="false">COUNTIFS('Master Requirements Tracker'!$C$9:$C$158,B37,'Master Requirements Tracker'!$F$9:$F$158,"Completed")</f>
        <v>0</v>
      </c>
      <c r="E37" s="18" t="n">
        <f aca="false">COUNTIFS('Master Requirements Tracker'!$C$9:$C$158,B37,'Master Requirements Tracker'!$F$9:$F$158,"In Progress")</f>
        <v>1</v>
      </c>
      <c r="F37" s="18" t="n">
        <f aca="false">COUNTIFS('Master Requirements Tracker'!$C$9:$C$158,B37,'Master Requirements Tracker'!$F$9:$F$158,"In Review")</f>
        <v>0</v>
      </c>
      <c r="G37" s="18" t="n">
        <f aca="false">COUNTIFS('Master Requirements Tracker'!$C$9:$C$158,B37,'Master Requirements Tracker'!$F$9:$F$158,"Planned")</f>
        <v>1</v>
      </c>
      <c r="H37" s="19" t="n">
        <f aca="false">IF(C37&gt;0,D37/C37,0)</f>
        <v>0</v>
      </c>
    </row>
    <row r="38" customFormat="false" ht="15" hidden="false" customHeight="false" outlineLevel="0" collapsed="false">
      <c r="B38" s="17" t="s">
        <v>568</v>
      </c>
      <c r="C38" s="18" t="n">
        <f aca="false">COUNTIF('Master Requirements Tracker'!$C$9:$C$158,B38)</f>
        <v>1</v>
      </c>
      <c r="D38" s="18" t="n">
        <f aca="false">COUNTIFS('Master Requirements Tracker'!$C$9:$C$158,B38,'Master Requirements Tracker'!$F$9:$F$158,"Completed")</f>
        <v>1</v>
      </c>
      <c r="E38" s="18" t="n">
        <f aca="false">COUNTIFS('Master Requirements Tracker'!$C$9:$C$158,B38,'Master Requirements Tracker'!$F$9:$F$158,"In Progress")</f>
        <v>0</v>
      </c>
      <c r="F38" s="18" t="n">
        <f aca="false">COUNTIFS('Master Requirements Tracker'!$C$9:$C$158,B38,'Master Requirements Tracker'!$F$9:$F$158,"In Review")</f>
        <v>0</v>
      </c>
      <c r="G38" s="18" t="n">
        <f aca="false">COUNTIFS('Master Requirements Tracker'!$C$9:$C$158,B38,'Master Requirements Tracker'!$F$9:$F$158,"Planned")</f>
        <v>0</v>
      </c>
      <c r="H38" s="19" t="n">
        <f aca="false">IF(C38&gt;0,D38/C38,0)</f>
        <v>1</v>
      </c>
    </row>
    <row r="39" customFormat="false" ht="15" hidden="false" customHeight="false" outlineLevel="0" collapsed="false">
      <c r="B39" s="17" t="s">
        <v>576</v>
      </c>
      <c r="C39" s="18" t="n">
        <f aca="false">COUNTIF('Master Requirements Tracker'!$C$9:$C$158,B39)</f>
        <v>4</v>
      </c>
      <c r="D39" s="18" t="n">
        <f aca="false">COUNTIFS('Master Requirements Tracker'!$C$9:$C$158,B39,'Master Requirements Tracker'!$F$9:$F$158,"Completed")</f>
        <v>4</v>
      </c>
      <c r="E39" s="18" t="n">
        <f aca="false">COUNTIFS('Master Requirements Tracker'!$C$9:$C$158,B39,'Master Requirements Tracker'!$F$9:$F$158,"In Progress")</f>
        <v>0</v>
      </c>
      <c r="F39" s="18" t="n">
        <f aca="false">COUNTIFS('Master Requirements Tracker'!$C$9:$C$158,B39,'Master Requirements Tracker'!$F$9:$F$158,"In Review")</f>
        <v>0</v>
      </c>
      <c r="G39" s="18" t="n">
        <f aca="false">COUNTIFS('Master Requirements Tracker'!$C$9:$C$158,B39,'Master Requirements Tracker'!$F$9:$F$158,"Planned")</f>
        <v>0</v>
      </c>
      <c r="H39" s="19" t="n">
        <f aca="false">IF(C39&gt;0,D39/C39,0)</f>
        <v>1</v>
      </c>
    </row>
    <row r="40" customFormat="false" ht="15" hidden="false" customHeight="false" outlineLevel="0" collapsed="false">
      <c r="B40" s="17" t="s">
        <v>596</v>
      </c>
      <c r="C40" s="18" t="n">
        <f aca="false">COUNTIF('Master Requirements Tracker'!$C$9:$C$158,B40)</f>
        <v>2</v>
      </c>
      <c r="D40" s="18" t="n">
        <f aca="false">COUNTIFS('Master Requirements Tracker'!$C$9:$C$158,B40,'Master Requirements Tracker'!$F$9:$F$158,"Completed")</f>
        <v>2</v>
      </c>
      <c r="E40" s="18" t="n">
        <f aca="false">COUNTIFS('Master Requirements Tracker'!$C$9:$C$158,B40,'Master Requirements Tracker'!$F$9:$F$158,"In Progress")</f>
        <v>0</v>
      </c>
      <c r="F40" s="18" t="n">
        <f aca="false">COUNTIFS('Master Requirements Tracker'!$C$9:$C$158,B40,'Master Requirements Tracker'!$F$9:$F$158,"In Review")</f>
        <v>0</v>
      </c>
      <c r="G40" s="18" t="n">
        <f aca="false">COUNTIFS('Master Requirements Tracker'!$C$9:$C$158,B40,'Master Requirements Tracker'!$F$9:$F$158,"Planned")</f>
        <v>0</v>
      </c>
      <c r="H40" s="19" t="n">
        <f aca="false">IF(C40&gt;0,D40/C40,0)</f>
        <v>1</v>
      </c>
    </row>
    <row r="41" customFormat="false" ht="15" hidden="false" customHeight="false" outlineLevel="0" collapsed="false">
      <c r="B41" s="17" t="s">
        <v>607</v>
      </c>
      <c r="C41" s="18" t="n">
        <f aca="false">COUNTIF('Master Requirements Tracker'!$C$9:$C$158,B41)</f>
        <v>1</v>
      </c>
      <c r="D41" s="18" t="n">
        <f aca="false">COUNTIFS('Master Requirements Tracker'!$C$9:$C$158,B41,'Master Requirements Tracker'!$F$9:$F$158,"Completed")</f>
        <v>1</v>
      </c>
      <c r="E41" s="18" t="n">
        <f aca="false">COUNTIFS('Master Requirements Tracker'!$C$9:$C$158,B41,'Master Requirements Tracker'!$F$9:$F$158,"In Progress")</f>
        <v>0</v>
      </c>
      <c r="F41" s="18" t="n">
        <f aca="false">COUNTIFS('Master Requirements Tracker'!$C$9:$C$158,B41,'Master Requirements Tracker'!$F$9:$F$158,"In Review")</f>
        <v>0</v>
      </c>
      <c r="G41" s="18" t="n">
        <f aca="false">COUNTIFS('Master Requirements Tracker'!$C$9:$C$158,B41,'Master Requirements Tracker'!$F$9:$F$158,"Planned")</f>
        <v>0</v>
      </c>
      <c r="H41" s="19" t="n">
        <f aca="false">IF(C41&gt;0,D41/C41,0)</f>
        <v>1</v>
      </c>
    </row>
    <row r="42" customFormat="false" ht="15" hidden="false" customHeight="false" outlineLevel="0" collapsed="false">
      <c r="B42" s="17" t="s">
        <v>612</v>
      </c>
      <c r="C42" s="18" t="n">
        <f aca="false">COUNTIF('Master Requirements Tracker'!$C$9:$C$158,B42)</f>
        <v>1</v>
      </c>
      <c r="D42" s="18" t="n">
        <f aca="false">COUNTIFS('Master Requirements Tracker'!$C$9:$C$158,B42,'Master Requirements Tracker'!$F$9:$F$158,"Completed")</f>
        <v>1</v>
      </c>
      <c r="E42" s="18" t="n">
        <f aca="false">COUNTIFS('Master Requirements Tracker'!$C$9:$C$158,B42,'Master Requirements Tracker'!$F$9:$F$158,"In Progress")</f>
        <v>0</v>
      </c>
      <c r="F42" s="18" t="n">
        <f aca="false">COUNTIFS('Master Requirements Tracker'!$C$9:$C$158,B42,'Master Requirements Tracker'!$F$9:$F$158,"In Review")</f>
        <v>0</v>
      </c>
      <c r="G42" s="18" t="n">
        <f aca="false">COUNTIFS('Master Requirements Tracker'!$C$9:$C$158,B42,'Master Requirements Tracker'!$F$9:$F$158,"Planned")</f>
        <v>0</v>
      </c>
      <c r="H42" s="19" t="n">
        <f aca="false">IF(C42&gt;0,D42/C42,0)</f>
        <v>1</v>
      </c>
    </row>
    <row r="43" customFormat="false" ht="15" hidden="false" customHeight="false" outlineLevel="0" collapsed="false">
      <c r="B43" s="17" t="s">
        <v>616</v>
      </c>
      <c r="C43" s="18" t="n">
        <f aca="false">COUNTIF('Master Requirements Tracker'!$C$9:$C$158,B43)</f>
        <v>2</v>
      </c>
      <c r="D43" s="18" t="n">
        <f aca="false">COUNTIFS('Master Requirements Tracker'!$C$9:$C$158,B43,'Master Requirements Tracker'!$F$9:$F$158,"Completed")</f>
        <v>2</v>
      </c>
      <c r="E43" s="18" t="n">
        <f aca="false">COUNTIFS('Master Requirements Tracker'!$C$9:$C$158,B43,'Master Requirements Tracker'!$F$9:$F$158,"In Progress")</f>
        <v>0</v>
      </c>
      <c r="F43" s="18" t="n">
        <f aca="false">COUNTIFS('Master Requirements Tracker'!$C$9:$C$158,B43,'Master Requirements Tracker'!$F$9:$F$158,"In Review")</f>
        <v>0</v>
      </c>
      <c r="G43" s="18" t="n">
        <f aca="false">COUNTIFS('Master Requirements Tracker'!$C$9:$C$158,B43,'Master Requirements Tracker'!$F$9:$F$158,"Planned")</f>
        <v>0</v>
      </c>
      <c r="H43" s="19" t="n">
        <f aca="false">IF(C43&gt;0,D43/C43,0)</f>
        <v>1</v>
      </c>
    </row>
    <row r="44" customFormat="false" ht="15" hidden="false" customHeight="false" outlineLevel="0" collapsed="false">
      <c r="B44" s="17" t="s">
        <v>626</v>
      </c>
      <c r="C44" s="18" t="n">
        <f aca="false">COUNTIF('Master Requirements Tracker'!$C$9:$C$158,B44)</f>
        <v>1</v>
      </c>
      <c r="D44" s="18" t="n">
        <f aca="false">COUNTIFS('Master Requirements Tracker'!$C$9:$C$158,B44,'Master Requirements Tracker'!$F$9:$F$158,"Completed")</f>
        <v>1</v>
      </c>
      <c r="E44" s="18" t="n">
        <f aca="false">COUNTIFS('Master Requirements Tracker'!$C$9:$C$158,B44,'Master Requirements Tracker'!$F$9:$F$158,"In Progress")</f>
        <v>0</v>
      </c>
      <c r="F44" s="18" t="n">
        <f aca="false">COUNTIFS('Master Requirements Tracker'!$C$9:$C$158,B44,'Master Requirements Tracker'!$F$9:$F$158,"In Review")</f>
        <v>0</v>
      </c>
      <c r="G44" s="18" t="n">
        <f aca="false">COUNTIFS('Master Requirements Tracker'!$C$9:$C$158,B44,'Master Requirements Tracker'!$F$9:$F$158,"Planned")</f>
        <v>0</v>
      </c>
      <c r="H44" s="19" t="n">
        <f aca="false">IF(C44&gt;0,D44/C44,0)</f>
        <v>1</v>
      </c>
    </row>
    <row r="45" customFormat="false" ht="15" hidden="false" customHeight="false" outlineLevel="0" collapsed="false">
      <c r="B45" s="17" t="s">
        <v>631</v>
      </c>
      <c r="C45" s="18" t="n">
        <f aca="false">COUNTIF('Master Requirements Tracker'!$C$9:$C$158,B45)</f>
        <v>1</v>
      </c>
      <c r="D45" s="18" t="n">
        <f aca="false">COUNTIFS('Master Requirements Tracker'!$C$9:$C$158,B45,'Master Requirements Tracker'!$F$9:$F$158,"Completed")</f>
        <v>1</v>
      </c>
      <c r="E45" s="18" t="n">
        <f aca="false">COUNTIFS('Master Requirements Tracker'!$C$9:$C$158,B45,'Master Requirements Tracker'!$F$9:$F$158,"In Progress")</f>
        <v>0</v>
      </c>
      <c r="F45" s="18" t="n">
        <f aca="false">COUNTIFS('Master Requirements Tracker'!$C$9:$C$158,B45,'Master Requirements Tracker'!$F$9:$F$158,"In Review")</f>
        <v>0</v>
      </c>
      <c r="G45" s="18" t="n">
        <f aca="false">COUNTIFS('Master Requirements Tracker'!$C$9:$C$158,B45,'Master Requirements Tracker'!$F$9:$F$158,"Planned")</f>
        <v>0</v>
      </c>
      <c r="H45" s="19" t="n">
        <f aca="false">IF(C45&gt;0,D45/C45,0)</f>
        <v>1</v>
      </c>
    </row>
    <row r="46" customFormat="false" ht="15" hidden="false" customHeight="false" outlineLevel="0" collapsed="false">
      <c r="B46" s="17" t="s">
        <v>636</v>
      </c>
      <c r="C46" s="18" t="n">
        <f aca="false">COUNTIF('Master Requirements Tracker'!$C$9:$C$158,B46)</f>
        <v>1</v>
      </c>
      <c r="D46" s="18" t="n">
        <f aca="false">COUNTIFS('Master Requirements Tracker'!$C$9:$C$158,B46,'Master Requirements Tracker'!$F$9:$F$158,"Completed")</f>
        <v>1</v>
      </c>
      <c r="E46" s="18" t="n">
        <f aca="false">COUNTIFS('Master Requirements Tracker'!$C$9:$C$158,B46,'Master Requirements Tracker'!$F$9:$F$158,"In Progress")</f>
        <v>0</v>
      </c>
      <c r="F46" s="18" t="n">
        <f aca="false">COUNTIFS('Master Requirements Tracker'!$C$9:$C$158,B46,'Master Requirements Tracker'!$F$9:$F$158,"In Review")</f>
        <v>0</v>
      </c>
      <c r="G46" s="18" t="n">
        <f aca="false">COUNTIFS('Master Requirements Tracker'!$C$9:$C$158,B46,'Master Requirements Tracker'!$F$9:$F$158,"Planned")</f>
        <v>0</v>
      </c>
      <c r="H46" s="19" t="n">
        <f aca="false">IF(C46&gt;0,D46/C46,0)</f>
        <v>1</v>
      </c>
    </row>
    <row r="47" customFormat="false" ht="15" hidden="false" customHeight="false" outlineLevel="0" collapsed="false">
      <c r="B47" s="17" t="s">
        <v>643</v>
      </c>
      <c r="C47" s="18" t="n">
        <f aca="false">COUNTIF('Master Requirements Tracker'!$C$9:$C$158,B47)</f>
        <v>1</v>
      </c>
      <c r="D47" s="18" t="n">
        <f aca="false">COUNTIFS('Master Requirements Tracker'!$C$9:$C$158,B47,'Master Requirements Tracker'!$F$9:$F$158,"Completed")</f>
        <v>1</v>
      </c>
      <c r="E47" s="18" t="n">
        <f aca="false">COUNTIFS('Master Requirements Tracker'!$C$9:$C$158,B47,'Master Requirements Tracker'!$F$9:$F$158,"In Progress")</f>
        <v>0</v>
      </c>
      <c r="F47" s="18" t="n">
        <f aca="false">COUNTIFS('Master Requirements Tracker'!$C$9:$C$158,B47,'Master Requirements Tracker'!$F$9:$F$158,"In Review")</f>
        <v>0</v>
      </c>
      <c r="G47" s="18" t="n">
        <f aca="false">COUNTIFS('Master Requirements Tracker'!$C$9:$C$158,B47,'Master Requirements Tracker'!$F$9:$F$158,"Planned")</f>
        <v>0</v>
      </c>
      <c r="H47" s="19" t="n">
        <f aca="false">IF(C47&gt;0,D47/C47,0)</f>
        <v>1</v>
      </c>
    </row>
    <row r="48" customFormat="false" ht="15" hidden="false" customHeight="false" outlineLevel="0" collapsed="false">
      <c r="B48" s="17" t="s">
        <v>649</v>
      </c>
      <c r="C48" s="18" t="n">
        <f aca="false">COUNTIF('Master Requirements Tracker'!$C$9:$C$158,B48)</f>
        <v>3</v>
      </c>
      <c r="D48" s="18" t="n">
        <f aca="false">COUNTIFS('Master Requirements Tracker'!$C$9:$C$158,B48,'Master Requirements Tracker'!$F$9:$F$158,"Completed")</f>
        <v>3</v>
      </c>
      <c r="E48" s="18" t="n">
        <f aca="false">COUNTIFS('Master Requirements Tracker'!$C$9:$C$158,B48,'Master Requirements Tracker'!$F$9:$F$158,"In Progress")</f>
        <v>0</v>
      </c>
      <c r="F48" s="18" t="n">
        <f aca="false">COUNTIFS('Master Requirements Tracker'!$C$9:$C$158,B48,'Master Requirements Tracker'!$F$9:$F$158,"In Review")</f>
        <v>0</v>
      </c>
      <c r="G48" s="18" t="n">
        <f aca="false">COUNTIFS('Master Requirements Tracker'!$C$9:$C$158,B48,'Master Requirements Tracker'!$F$9:$F$158,"Planned")</f>
        <v>0</v>
      </c>
      <c r="H48" s="19" t="n">
        <f aca="false">IF(C48&gt;0,D48/C48,0)</f>
        <v>1</v>
      </c>
    </row>
    <row r="49" customFormat="false" ht="15" hidden="false" customHeight="false" outlineLevel="0" collapsed="false">
      <c r="B49" s="17" t="s">
        <v>661</v>
      </c>
      <c r="C49" s="18" t="n">
        <f aca="false">COUNTIF('Master Requirements Tracker'!$C$9:$C$158,B49)</f>
        <v>3</v>
      </c>
      <c r="D49" s="18" t="n">
        <f aca="false">COUNTIFS('Master Requirements Tracker'!$C$9:$C$158,B49,'Master Requirements Tracker'!$F$9:$F$158,"Completed")</f>
        <v>3</v>
      </c>
      <c r="E49" s="18" t="n">
        <f aca="false">COUNTIFS('Master Requirements Tracker'!$C$9:$C$158,B49,'Master Requirements Tracker'!$F$9:$F$158,"In Progress")</f>
        <v>0</v>
      </c>
      <c r="F49" s="18" t="n">
        <f aca="false">COUNTIFS('Master Requirements Tracker'!$C$9:$C$158,B49,'Master Requirements Tracker'!$F$9:$F$158,"In Review")</f>
        <v>0</v>
      </c>
      <c r="G49" s="18" t="n">
        <f aca="false">COUNTIFS('Master Requirements Tracker'!$C$9:$C$158,B49,'Master Requirements Tracker'!$F$9:$F$158,"Planned")</f>
        <v>0</v>
      </c>
      <c r="H49" s="19" t="n">
        <f aca="false">IF(C49&gt;0,D49/C49,0)</f>
        <v>1</v>
      </c>
    </row>
    <row r="50" customFormat="false" ht="15" hidden="false" customHeight="false" outlineLevel="0" collapsed="false">
      <c r="B50" s="20" t="s">
        <v>677</v>
      </c>
      <c r="C50" s="21" t="n">
        <f aca="false">SUM(C5:C49)</f>
        <v>150</v>
      </c>
      <c r="D50" s="21" t="n">
        <f aca="false">SUM(D5:D49)</f>
        <v>130</v>
      </c>
      <c r="E50" s="21" t="n">
        <f aca="false">SUM(E5:E49)</f>
        <v>13</v>
      </c>
      <c r="F50" s="21" t="n">
        <f aca="false">SUM(F5:F49)</f>
        <v>2</v>
      </c>
      <c r="G50" s="21" t="n">
        <f aca="false">SUM(G5:G49)</f>
        <v>5</v>
      </c>
      <c r="H50" s="22" t="n">
        <f aca="false">IF(C50&gt;0,D50/C50,0)</f>
        <v>0.866666666666667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75"/>
    <col collapsed="false" customWidth="true" hidden="false" outlineLevel="0" max="2" min="2" style="0" width="26"/>
    <col collapsed="false" customWidth="true" hidden="false" outlineLevel="0" max="3" min="3" style="0" width="60"/>
    <col collapsed="false" customWidth="true" hidden="false" outlineLevel="0" max="4" min="4" style="0" width="44"/>
    <col collapsed="false" customWidth="true" hidden="false" outlineLevel="0" max="5" min="5" style="0" width="15"/>
  </cols>
  <sheetData>
    <row r="2" customFormat="false" ht="19.7" hidden="false" customHeight="false" outlineLevel="0" collapsed="false">
      <c r="B2" s="14" t="s">
        <v>679</v>
      </c>
    </row>
    <row r="4" customFormat="false" ht="15" hidden="false" customHeight="false" outlineLevel="0" collapsed="false">
      <c r="B4" s="23" t="s">
        <v>680</v>
      </c>
      <c r="C4" s="23" t="s">
        <v>681</v>
      </c>
      <c r="D4" s="23" t="s">
        <v>682</v>
      </c>
      <c r="E4" s="23" t="s">
        <v>18</v>
      </c>
    </row>
    <row r="5" customFormat="false" ht="30" hidden="false" customHeight="true" outlineLevel="0" collapsed="false">
      <c r="B5" s="24" t="s">
        <v>683</v>
      </c>
      <c r="C5" s="24" t="s">
        <v>684</v>
      </c>
      <c r="D5" s="24" t="s">
        <v>685</v>
      </c>
      <c r="E5" s="25" t="s">
        <v>72</v>
      </c>
    </row>
    <row r="6" customFormat="false" ht="30" hidden="false" customHeight="true" outlineLevel="0" collapsed="false">
      <c r="B6" s="24" t="s">
        <v>686</v>
      </c>
      <c r="C6" s="24" t="s">
        <v>687</v>
      </c>
      <c r="D6" s="24" t="s">
        <v>688</v>
      </c>
      <c r="E6" s="25" t="s">
        <v>72</v>
      </c>
    </row>
    <row r="7" customFormat="false" ht="30" hidden="false" customHeight="true" outlineLevel="0" collapsed="false">
      <c r="B7" s="24" t="s">
        <v>689</v>
      </c>
      <c r="C7" s="24" t="s">
        <v>690</v>
      </c>
      <c r="D7" s="24" t="s">
        <v>691</v>
      </c>
      <c r="E7" s="25" t="s">
        <v>29</v>
      </c>
    </row>
    <row r="8" customFormat="false" ht="30" hidden="false" customHeight="true" outlineLevel="0" collapsed="false">
      <c r="B8" s="24" t="s">
        <v>692</v>
      </c>
      <c r="C8" s="24" t="s">
        <v>693</v>
      </c>
      <c r="D8" s="24" t="s">
        <v>694</v>
      </c>
      <c r="E8" s="25" t="s">
        <v>300</v>
      </c>
    </row>
    <row r="9" customFormat="false" ht="30" hidden="false" customHeight="true" outlineLevel="0" collapsed="false">
      <c r="B9" s="24" t="s">
        <v>695</v>
      </c>
      <c r="C9" s="24" t="s">
        <v>696</v>
      </c>
      <c r="D9" s="24" t="s">
        <v>697</v>
      </c>
      <c r="E9" s="25" t="s">
        <v>72</v>
      </c>
    </row>
    <row r="10" customFormat="false" ht="30" hidden="false" customHeight="true" outlineLevel="0" collapsed="false">
      <c r="B10" s="24" t="s">
        <v>698</v>
      </c>
      <c r="C10" s="24" t="s">
        <v>699</v>
      </c>
      <c r="D10" s="24" t="s">
        <v>700</v>
      </c>
      <c r="E10" s="25" t="s">
        <v>29</v>
      </c>
    </row>
    <row r="11" customFormat="false" ht="30" hidden="false" customHeight="true" outlineLevel="0" collapsed="false">
      <c r="B11" s="24" t="s">
        <v>701</v>
      </c>
      <c r="C11" s="24" t="s">
        <v>702</v>
      </c>
      <c r="D11" s="24" t="s">
        <v>703</v>
      </c>
      <c r="E11" s="25" t="s">
        <v>86</v>
      </c>
    </row>
    <row r="12" customFormat="false" ht="30" hidden="false" customHeight="true" outlineLevel="0" collapsed="false">
      <c r="B12" s="24" t="s">
        <v>704</v>
      </c>
      <c r="C12" s="24" t="s">
        <v>705</v>
      </c>
      <c r="D12" s="24" t="s">
        <v>706</v>
      </c>
      <c r="E12" s="25" t="s">
        <v>300</v>
      </c>
    </row>
    <row r="13" customFormat="false" ht="30" hidden="false" customHeight="true" outlineLevel="0" collapsed="false">
      <c r="B13" s="24" t="s">
        <v>707</v>
      </c>
      <c r="C13" s="24" t="s">
        <v>708</v>
      </c>
      <c r="D13" s="24" t="s">
        <v>709</v>
      </c>
      <c r="E13" s="25" t="s">
        <v>300</v>
      </c>
    </row>
  </sheetData>
  <conditionalFormatting sqref="E5:E13">
    <cfRule type="cellIs" priority="2" operator="equal" aboveAverage="0" equalAverage="0" bottom="0" percent="0" rank="0" text="" dxfId="13">
      <formula>"Completed"</formula>
    </cfRule>
    <cfRule type="cellIs" priority="3" operator="equal" aboveAverage="0" equalAverage="0" bottom="0" percent="0" rank="0" text="" dxfId="14">
      <formula>"In Progress"</formula>
    </cfRule>
    <cfRule type="cellIs" priority="4" operator="equal" aboveAverage="0" equalAverage="0" bottom="0" percent="0" rank="0" text="" dxfId="15">
      <formula>"In Review"</formula>
    </cfRule>
    <cfRule type="cellIs" priority="5" operator="equal" aboveAverage="0" equalAverage="0" bottom="0" percent="0" rank="0" text="" dxfId="16">
      <formula>"Planned"</formula>
    </cfRule>
  </conditionalFormatting>
  <dataValidations count="1">
    <dataValidation allowBlank="false" errorStyle="stop" operator="between" showDropDown="false" showErrorMessage="false" showInputMessage="false" sqref="E5:E13" type="list">
      <formula1>"Completed,In Progress,In Review,Planned"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75"/>
    <col collapsed="false" customWidth="true" hidden="false" outlineLevel="0" max="2" min="2" style="0" width="26"/>
    <col collapsed="false" customWidth="true" hidden="false" outlineLevel="0" max="3" min="3" style="0" width="95"/>
  </cols>
  <sheetData>
    <row r="2" customFormat="false" ht="19.7" hidden="false" customHeight="false" outlineLevel="0" collapsed="false">
      <c r="B2" s="14" t="s">
        <v>710</v>
      </c>
    </row>
    <row r="4" customFormat="false" ht="52.5" hidden="false" customHeight="true" outlineLevel="0" collapsed="false">
      <c r="B4" s="26" t="s">
        <v>711</v>
      </c>
      <c r="C4" s="27" t="s">
        <v>712</v>
      </c>
    </row>
    <row r="5" customFormat="false" ht="37.5" hidden="false" customHeight="true" outlineLevel="0" collapsed="false">
      <c r="B5" s="26" t="s">
        <v>29</v>
      </c>
      <c r="C5" s="27" t="s">
        <v>713</v>
      </c>
    </row>
    <row r="6" customFormat="false" ht="22.5" hidden="false" customHeight="true" outlineLevel="0" collapsed="false">
      <c r="B6" s="26" t="s">
        <v>72</v>
      </c>
      <c r="C6" s="27" t="s">
        <v>714</v>
      </c>
    </row>
    <row r="7" customFormat="false" ht="37.5" hidden="false" customHeight="true" outlineLevel="0" collapsed="false">
      <c r="B7" s="26" t="s">
        <v>300</v>
      </c>
      <c r="C7" s="27" t="s">
        <v>715</v>
      </c>
    </row>
    <row r="8" customFormat="false" ht="22.5" hidden="false" customHeight="true" outlineLevel="0" collapsed="false">
      <c r="B8" s="26" t="s">
        <v>86</v>
      </c>
      <c r="C8" s="27" t="s">
        <v>716</v>
      </c>
    </row>
    <row r="9" customFormat="false" ht="52.5" hidden="false" customHeight="true" outlineLevel="0" collapsed="false">
      <c r="B9" s="26" t="s">
        <v>21</v>
      </c>
      <c r="C9" s="27" t="s">
        <v>717</v>
      </c>
    </row>
    <row r="10" customFormat="false" ht="37.5" hidden="false" customHeight="true" outlineLevel="0" collapsed="false">
      <c r="B10" s="26" t="s">
        <v>22</v>
      </c>
      <c r="C10" s="27" t="s">
        <v>718</v>
      </c>
    </row>
    <row r="11" customFormat="false" ht="37.5" hidden="false" customHeight="true" outlineLevel="0" collapsed="false">
      <c r="B11" s="26" t="s">
        <v>719</v>
      </c>
      <c r="C11" s="27" t="s">
        <v>720</v>
      </c>
    </row>
    <row r="12" customFormat="false" ht="37.5" hidden="false" customHeight="true" outlineLevel="0" collapsed="false">
      <c r="B12" s="26" t="s">
        <v>20</v>
      </c>
      <c r="C12" s="27" t="s">
        <v>721</v>
      </c>
    </row>
    <row r="13" customFormat="false" ht="22.5" hidden="false" customHeight="true" outlineLevel="0" collapsed="false">
      <c r="B13" s="26" t="s">
        <v>722</v>
      </c>
      <c r="C13" s="27" t="s">
        <v>723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2026-10-12T15:43:29Z</dcterms:created>
  <dc:creator>openpyxl</dc:creator>
  <dc:description/>
  <dc:language>en-US</dc:language>
  <cp:lastModifiedBy/>
  <dcterms:modified xsi:type="dcterms:W3CDTF">2026-10-12T15:43:29Z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