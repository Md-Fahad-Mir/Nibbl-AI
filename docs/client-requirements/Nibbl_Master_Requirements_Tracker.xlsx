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Requirements Tracker" sheetId="1" state="visible" r:id="rId3"/>
    <sheet name="Summary by Section" sheetId="2" state="visible" r:id="rId4"/>
    <sheet name="Open Dependencies" sheetId="3" state="visible" r:id="rId5"/>
    <sheet name="How to Use" sheetId="4" state="visible" r:id="rId6"/>
  </sheets>
  <definedNames>
    <definedName function="false" hidden="false" localSheetId="0" name="_xlnm.Print_Titles" vbProcedure="false">'Master Requirements Tracker'!$8:$8</definedName>
    <definedName function="false" hidden="true" localSheetId="0" name="_xlnm._FilterDatabase" vbProcedure="false">'Master Requirements Tracker'!$B$8:$L$105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<sst xmlns="http://schemas.openxmlformats.org/spreadsheetml/2006/main" count="931" uniqueCount="591">
  <si>
    <t xml:space="preserve">Nibbl AI — Master Requirements Tracker</t>
  </si>
  <si>
    <t xml:space="preserve">Mapped to the Master Document (Nibbl_Master_Requirements_Consistency_Final). Status as of 11 Oct 2026. Each row = one Master section; 'Where to See It' and 'How to Test' let you verify it in the product.</t>
  </si>
  <si>
    <t xml:space="preserve">TOTAL REQUIREMENTS</t>
  </si>
  <si>
    <t xml:space="preserve">COMPLETED</t>
  </si>
  <si>
    <t xml:space="preserve">IN PROGRESS</t>
  </si>
  <si>
    <t xml:space="preserve">IN REVIEW</t>
  </si>
  <si>
    <t xml:space="preserve">PLANNED</t>
  </si>
  <si>
    <t xml:space="preserve">COMPLETION RATE</t>
  </si>
  <si>
    <t xml:space="preserve">Master Document sections</t>
  </si>
  <si>
    <t xml:space="preserve">Built &amp; live on production</t>
  </si>
  <si>
    <t xml:space="preserve">Partly built — gap in Notes</t>
  </si>
  <si>
    <t xml:space="preserve">Built — waiting on a third party</t>
  </si>
  <si>
    <t xml:space="preserve">Not started yet</t>
  </si>
  <si>
    <t xml:space="preserve">Completed ÷ total</t>
  </si>
  <si>
    <t xml:space="preserve">#</t>
  </si>
  <si>
    <t xml:space="preserve">Master Document Section</t>
  </si>
  <si>
    <t xml:space="preserve">Master Requirement</t>
  </si>
  <si>
    <t xml:space="preserve">What Was Delivered</t>
  </si>
  <si>
    <t xml:space="preserve">Status</t>
  </si>
  <si>
    <t xml:space="preserve">Platform</t>
  </si>
  <si>
    <t xml:space="preserve">Where to See It</t>
  </si>
  <si>
    <t xml:space="preserve">How to Test</t>
  </si>
  <si>
    <t xml:space="preserve">Open Items / Notes</t>
  </si>
  <si>
    <t xml:space="preserve">Evidence (screenshot / video link)</t>
  </si>
  <si>
    <t xml:space="preserve">Checklist Ref</t>
  </si>
  <si>
    <t xml:space="preserve">Brand Dashboard Home</t>
  </si>
  <si>
    <t xml:space="preserve">Brand name in header &amp; welcome; Wallet link shows Available Funds</t>
  </si>
  <si>
    <t xml:space="preserve">Brand name from Brand Settings in the welcome message; header shows Available Funds and links to Wallet.</t>
  </si>
  <si>
    <t xml:space="preserve">Completed</t>
  </si>
  <si>
    <t xml:space="preserve">Brand Dashboard</t>
  </si>
  <si>
    <t xml:space="preserve">Dashboard (home)</t>
  </si>
  <si>
    <t xml:space="preserve">Log in as a brand → check the welcome line and click Available Funds in the header.</t>
  </si>
  <si>
    <t xml:space="preserve">#1</t>
  </si>
  <si>
    <t xml:space="preserve">Navigation: add Tag Generator and Plans</t>
  </si>
  <si>
    <t xml:space="preserve">Sidebar includes Plans and Tag Generator (static Coming Soon page).</t>
  </si>
  <si>
    <t xml:space="preserve">Sidebar → Plans / Tag Generator</t>
  </si>
  <si>
    <t xml:space="preserve">Open both items from the sidebar.</t>
  </si>
  <si>
    <t xml:space="preserve">#35, #37</t>
  </si>
  <si>
    <t xml:space="preserve">Show the current plan once, linked to Plans</t>
  </si>
  <si>
    <t xml:space="preserve">Current plan shown once in the header; click opens Plans.</t>
  </si>
  <si>
    <t xml:space="preserve">Header → Plan</t>
  </si>
  <si>
    <t xml:space="preserve">Click the plan name in the header.</t>
  </si>
  <si>
    <t xml:space="preserve">#35</t>
  </si>
  <si>
    <t xml:space="preserve">Snapshots: Rebates &amp; Reviews (Last 30 Days), no mini charts/badges</t>
  </si>
  <si>
    <t xml:space="preserve">Rebates: claims, redemptions, redemption rate, Total Brand Cost, cost per redemption. Reviews: invitations, completed, completion rate, Total Brand Cost, cost per review.</t>
  </si>
  <si>
    <t xml:space="preserve">Compare the snapshot numbers with Redemptions / Review Management for the same 30 days.</t>
  </si>
  <si>
    <t xml:space="preserve">#1, #28</t>
  </si>
  <si>
    <t xml:space="preserve">Campaign Performance table (incl. ended campaigns)</t>
  </si>
  <si>
    <t xml:space="preserve">Campaign Performance table with claims / redemptions and the 25-hour-cycle performance status.</t>
  </si>
  <si>
    <t xml:space="preserve">Dashboard (home) → Campaign Performance</t>
  </si>
  <si>
    <t xml:space="preserve">Check that ended campaigns are listed and the status column shows.</t>
  </si>
  <si>
    <t xml:space="preserve">Product Library</t>
  </si>
  <si>
    <t xml:space="preserve">Shared layout, page controls, product cards, Add / Edit Product</t>
  </si>
  <si>
    <t xml:space="preserve">Product Library with product count, Add Product, product cards and the same single-page form for Add and Edit.</t>
  </si>
  <si>
    <t xml:space="preserve">Sidebar → Product Library</t>
  </si>
  <si>
    <t xml:space="preserve">Add a product, then edit it.</t>
  </si>
  <si>
    <t xml:space="preserve">#2</t>
  </si>
  <si>
    <t xml:space="preserve">Product identity: one record per flavor/size with a permanent Product ID</t>
  </si>
  <si>
    <t xml:space="preserve">Each flavor/size is its own product with a permanent ID assigned on save.</t>
  </si>
  <si>
    <t xml:space="preserve">Product Library → product details</t>
  </si>
  <si>
    <t xml:space="preserve">Create two sizes of one product; each gets its own ID.</t>
  </si>
  <si>
    <t xml:space="preserve">Description kept for AI review questions</t>
  </si>
  <si>
    <t xml:space="preserve">Product description is stored and sent to the AI when it writes review questions.</t>
  </si>
  <si>
    <t xml:space="preserve">Brand Dashboard + Backend / API</t>
  </si>
  <si>
    <t xml:space="preserve">Add / Edit Product → Description</t>
  </si>
  <si>
    <t xml:space="preserve">Fill the description; it feeds review questions.</t>
  </si>
  <si>
    <t xml:space="preserve">#2, #24</t>
  </si>
  <si>
    <t xml:space="preserve">Standardized, admin-managed categories; brands can request additions</t>
  </si>
  <si>
    <t xml:space="preserve">Products have a category field.</t>
  </si>
  <si>
    <t xml:space="preserve">Planned</t>
  </si>
  <si>
    <t xml:space="preserve">Brand Dashboard + Admin Dashboard</t>
  </si>
  <si>
    <t xml:space="preserve">Add / Edit Product → Category</t>
  </si>
  <si>
    <t xml:space="preserve">—</t>
  </si>
  <si>
    <t xml:space="preserve">An admin-managed category list with brand 'request a category' isn't built yet (category is free text today).</t>
  </si>
  <si>
    <t xml:space="preserve">Receipt matching: retailer + receipt text + item code; aliases</t>
  </si>
  <si>
    <t xml:space="preserve">Aliases can be added on the product or saved during manual review; matching uses receipt text and item code.</t>
  </si>
  <si>
    <t xml:space="preserve">Product details → Aliases; Redemptions → manual review</t>
  </si>
  <si>
    <t xml:space="preserve">Add an alias, then upload a receipt using that text.</t>
  </si>
  <si>
    <t xml:space="preserve">#2, #21</t>
  </si>
  <si>
    <t xml:space="preserve">Clickable rating &amp; review count open Review Management filtered to the product</t>
  </si>
  <si>
    <t xml:space="preserve">Product rating and review count link to Review Management filtered to that product.</t>
  </si>
  <si>
    <t xml:space="preserve">Product details → rating</t>
  </si>
  <si>
    <t xml:space="preserve">Click the rating on a product that has reviews.</t>
  </si>
  <si>
    <t xml:space="preserve">#3</t>
  </si>
  <si>
    <t xml:space="preserve">Delete Product: type DELETE; keep history</t>
  </si>
  <si>
    <t xml:space="preserve">Delete requires typing DELETE; historical reviews and redemptions are preserved (product archived).</t>
  </si>
  <si>
    <t xml:space="preserve">Product details → Delete</t>
  </si>
  <si>
    <t xml:space="preserve">Try deleting without typing DELETE, then with it.</t>
  </si>
  <si>
    <t xml:space="preserve">Create Rebate Campaign</t>
  </si>
  <si>
    <t xml:space="preserve">① Campaign Basics</t>
  </si>
  <si>
    <t xml:space="preserve">Name, image, dates and description in the campaign builder.</t>
  </si>
  <si>
    <t xml:space="preserve">Rebate → Create Campaign</t>
  </si>
  <si>
    <t xml:space="preserve">Create a draft campaign.</t>
  </si>
  <si>
    <t xml:space="preserve">#5, #7</t>
  </si>
  <si>
    <t xml:space="preserve">② Eligible Products</t>
  </si>
  <si>
    <t xml:space="preserve">Select eligible products from the Product Library.</t>
  </si>
  <si>
    <t xml:space="preserve">Rebate → Create Campaign → Eligible Products</t>
  </si>
  <si>
    <t xml:space="preserve">Pick 2 products and save.</t>
  </si>
  <si>
    <t xml:space="preserve">#5</t>
  </si>
  <si>
    <t xml:space="preserve">③ Offer Setup — Free / BOGO Free / Buy 1 Get 1 50% Off / Buy X Get $Y Off</t>
  </si>
  <si>
    <t xml:space="preserve">All four offer types with locked reward math and shared developer rules (net eligible price).</t>
  </si>
  <si>
    <t xml:space="preserve">Rebate → Create Campaign → Offer Setup</t>
  </si>
  <si>
    <t xml:space="preserve">Create one campaign per offer type and check the preview.</t>
  </si>
  <si>
    <t xml:space="preserve">④ Offer Details &amp; Shopper Wording</t>
  </si>
  <si>
    <t xml:space="preserve">Suggested, editable headline / description; locked system-rules summary; maximum rebate.</t>
  </si>
  <si>
    <t xml:space="preserve">Rebate → Create Campaign → Offer Details</t>
  </si>
  <si>
    <t xml:space="preserve">Edit the suggested wording and check the live preview.</t>
  </si>
  <si>
    <t xml:space="preserve">⑤ Retailer Availability (Where to Buy, up to 3 Featured)</t>
  </si>
  <si>
    <t xml:space="preserve">Nibbl retailer directory; brands add missing retailers; up to 3 Featured Retailers.</t>
  </si>
  <si>
    <t xml:space="preserve">Rebate → Create Campaign → Retailers</t>
  </si>
  <si>
    <t xml:space="preserve">Pick retailers and 3 featured ones; check the shopper offer page.</t>
  </si>
  <si>
    <t xml:space="preserve">#10</t>
  </si>
  <si>
    <t xml:space="preserve">⑥ Receipt Eligibility — Any Retailer / Retailer Required</t>
  </si>
  <si>
    <t xml:space="preserve">Any Retailer or Retailer Required; enforced on receipts and saved on each claim.</t>
  </si>
  <si>
    <t xml:space="preserve">Rebate → Create Campaign → Receipt Eligibility</t>
  </si>
  <si>
    <t xml:space="preserve">Set Retailer Required and upload a receipt from another store (rejected).</t>
  </si>
  <si>
    <t xml:space="preserve">⑦ 25-Hour Claim Capacity</t>
  </si>
  <si>
    <t xml:space="preserve">Desired redemptions ÷ estimated rate (rounded up); cycles from activation; builder shows the live calculation.</t>
  </si>
  <si>
    <t xml:space="preserve">Rebate → Create Campaign → Claim Capacity; campaign page</t>
  </si>
  <si>
    <t xml:space="preserve">Check 'Current cycle claims X of Y' on the campaign page.</t>
  </si>
  <si>
    <t xml:space="preserve">#4</t>
  </si>
  <si>
    <t xml:space="preserve">⑧ Campaign Controls — Customer Cooldown</t>
  </si>
  <si>
    <t xml:space="preserve">Cooldown options incl. one time per customer.</t>
  </si>
  <si>
    <t xml:space="preserve">Rebate → Create Campaign → Controls</t>
  </si>
  <si>
    <t xml:space="preserve">Set a cooldown, claim + redeem, then try to claim again.</t>
  </si>
  <si>
    <t xml:space="preserve">#8, #12</t>
  </si>
  <si>
    <t xml:space="preserve">Discovery Geography — Nationwide / Selected States / ZIP + radius</t>
  </si>
  <si>
    <t xml:space="preserve">Nationwide, selected states, or ZIP + 5–100 mi radius (multiple areas).</t>
  </si>
  <si>
    <t xml:space="preserve">Rebate → Create Campaign → Geography</t>
  </si>
  <si>
    <t xml:space="preserve">Set a ZIP radius; a shopper outside it doesn't see the campaign.</t>
  </si>
  <si>
    <t xml:space="preserve">#13</t>
  </si>
  <si>
    <t xml:space="preserve">Meta Pixel Tracking (on/off per campaign; validated Pixel ID only)</t>
  </si>
  <si>
    <t xml:space="preserve">Per-campaign switch using the Pixel ID validated in Settings; no scripts accepted.</t>
  </si>
  <si>
    <t xml:space="preserve">Brand Dashboard + Shopper Website</t>
  </si>
  <si>
    <t xml:space="preserve">Campaign page → Meta Pixel tracking</t>
  </si>
  <si>
    <t xml:space="preserve">Save a Pixel ID in Settings → Tracking, then switch tracking on.</t>
  </si>
  <si>
    <t xml:space="preserve">Validation is a format check (Meta token not in launch scope). Browser events only.</t>
  </si>
  <si>
    <t xml:space="preserve">#11</t>
  </si>
  <si>
    <t xml:space="preserve">Live preview uses the same campaign data as the published offer</t>
  </si>
  <si>
    <t xml:space="preserve">Live shopper preview in the builder and campaign page.</t>
  </si>
  <si>
    <t xml:space="preserve">Rebate → Create Campaign → Preview</t>
  </si>
  <si>
    <t xml:space="preserve">Edit wording and watch the preview update.</t>
  </si>
  <si>
    <t xml:space="preserve">Submission and revision rules</t>
  </si>
  <si>
    <t xml:space="preserve">Save draft / Submit; Nibbl approves, requests changes or rejects; revisions keep the approved version live.</t>
  </si>
  <si>
    <t xml:space="preserve">Campaign page status banner; Admin → Campaign Approvals</t>
  </si>
  <si>
    <t xml:space="preserve">Submit, request changes as admin, resubmit, approve.</t>
  </si>
  <si>
    <t xml:space="preserve">#7, #44</t>
  </si>
  <si>
    <t xml:space="preserve">Existing Reservation Rule Snapshot</t>
  </si>
  <si>
    <t xml:space="preserve">Each claim stores its deal terms, products, retailers and cooldown; later edits apply to new claims only.</t>
  </si>
  <si>
    <t xml:space="preserve">Backend / API</t>
  </si>
  <si>
    <t xml:space="preserve">Backend</t>
  </si>
  <si>
    <t xml:space="preserve">Edit a live campaign; an existing claim keeps its original terms.</t>
  </si>
  <si>
    <t xml:space="preserve">#8</t>
  </si>
  <si>
    <t xml:space="preserve">Offer Type Inputs and Shopper Output</t>
  </si>
  <si>
    <t xml:space="preserve">Shopper output sources (image, headline, products, ratings, Where to Buy, receipt wording, max rebate, eligibility, Going Fast)</t>
  </si>
  <si>
    <t xml:space="preserve">Offer page and cards built from the campaign fields listed in the Master's source table.</t>
  </si>
  <si>
    <t xml:space="preserve">Shopper Website + Backend / API</t>
  </si>
  <si>
    <t xml:space="preserve">Website → offer page</t>
  </si>
  <si>
    <t xml:space="preserve">Open an offer and compare each field with the campaign.</t>
  </si>
  <si>
    <t xml:space="preserve">#5, #10</t>
  </si>
  <si>
    <t xml:space="preserve">Campaign Detail Page</t>
  </si>
  <si>
    <t xml:space="preserve">① Submission Status · ② Summary · ③ Assets (URL / QR)</t>
  </si>
  <si>
    <t xml:space="preserve">Status banner, campaign summary and campaign URL + QR code.</t>
  </si>
  <si>
    <t xml:space="preserve">Rebate → open a campaign</t>
  </si>
  <si>
    <t xml:space="preserve">Open a campaign; copy the link and scan the QR.</t>
  </si>
  <si>
    <t xml:space="preserve">#7, #15</t>
  </si>
  <si>
    <t xml:space="preserve">④ Performance · ⑤ Current Cycle Claims · ⑥ Review Activity · ⑦ Actions</t>
  </si>
  <si>
    <t xml:space="preserve">Claims, active claims, pending review, redemptions, rate, reward spend; current cycle X of Y; review activity; edit / submit / activate / pause.</t>
  </si>
  <si>
    <t xml:space="preserve">Check the numbers after a test claim.</t>
  </si>
  <si>
    <t xml:space="preserve">#4, #7</t>
  </si>
  <si>
    <t xml:space="preserve">Effect on Existing Reservations</t>
  </si>
  <si>
    <t xml:space="preserve">Campaign goes live / Claim capacity reached / Reserved reward funding</t>
  </si>
  <si>
    <t xml:space="preserve">Claim reserves the max reward; approval pays the actual reward and returns the difference; capacity pauses claims until the next 25-hour cycle.</t>
  </si>
  <si>
    <t xml:space="preserve">Wallet → Reserved Funds</t>
  </si>
  <si>
    <t xml:space="preserve">Claim an offer and watch Reserved Funds change.</t>
  </si>
  <si>
    <t xml:space="preserve">#4, #9</t>
  </si>
  <si>
    <t xml:space="preserve">Discovery Entry, Retailer Match and Receipt Eligibility</t>
  </si>
  <si>
    <t xml:space="preserve">① In-App Discovery Entry / Location before discovery</t>
  </si>
  <si>
    <t xml:space="preserve">Ask for location or ZIP before showing deals; saved so it isn't asked again.</t>
  </si>
  <si>
    <t xml:space="preserve">Website → Find deals near you</t>
  </si>
  <si>
    <t xml:space="preserve">Open the website signed out; you're asked for ZIP / location first.</t>
  </si>
  <si>
    <t xml:space="preserve">Mobile app screens: app developer (API documented).</t>
  </si>
  <si>
    <t xml:space="preserve">② Geographic Eligibility Gate</t>
  </si>
  <si>
    <t xml:space="preserve">Feed shows only campaigns whose geography matches the shopper's location.</t>
  </si>
  <si>
    <t xml:space="preserve">Website → For You</t>
  </si>
  <si>
    <t xml:space="preserve">Change ZIP and see the deals change.</t>
  </si>
  <si>
    <t xml:space="preserve">③ Ranking After Eligibility</t>
  </si>
  <si>
    <t xml:space="preserve">Base CVR × Store Match × Brand Interest, with admin-configurable values.</t>
  </si>
  <si>
    <t xml:space="preserve">Backend / API + Admin Dashboard</t>
  </si>
  <si>
    <t xml:space="preserve">Admin → Settings → Discovery ranking</t>
  </si>
  <si>
    <t xml:space="preserve">Change a multiplier and compare feed order.</t>
  </si>
  <si>
    <t xml:space="preserve">#14, #50</t>
  </si>
  <si>
    <t xml:space="preserve">④ Retailer Availability &amp; Featured Retailers · ⑤ Any Retailer · ⑥ Retailer Required</t>
  </si>
  <si>
    <t xml:space="preserve">Where to Buy and featured retailers on the offer; receipt checked against the claim's retailer rule.</t>
  </si>
  <si>
    <t xml:space="preserve">Open an offer with featured retailers.</t>
  </si>
  <si>
    <t xml:space="preserve">#10, #19</t>
  </si>
  <si>
    <t xml:space="preserve">⑦ QR Code, Meta Ad or Direct URL</t>
  </si>
  <si>
    <t xml:space="preserve">Direct links / QR open the deal without discovery location; all other rules still apply.</t>
  </si>
  <si>
    <t xml:space="preserve">Campaign page → URL / QR</t>
  </si>
  <si>
    <t xml:space="preserve">Open the campaign URL in a private window.</t>
  </si>
  <si>
    <t xml:space="preserve">#15</t>
  </si>
  <si>
    <t xml:space="preserve">Campaign-Level Eligibility (not brand-wide)</t>
  </si>
  <si>
    <t xml:space="preserve">Only the claimed / cooling-down campaign is hidden; other campaigns of the brand still show.</t>
  </si>
  <si>
    <t xml:space="preserve">Claim one campaign of a brand; its other campaigns remain.</t>
  </si>
  <si>
    <t xml:space="preserve">#16</t>
  </si>
  <si>
    <t xml:space="preserve">Shopper Flow</t>
  </si>
  <si>
    <t xml:space="preserve">① Find Deals Near You · ② For You (campaign cards) · ③ Campaign Details</t>
  </si>
  <si>
    <t xml:space="preserve">Location gate, campaign cards (not product cards), full campaign details with share and save.</t>
  </si>
  <si>
    <t xml:space="preserve">Shopper Website</t>
  </si>
  <si>
    <t xml:space="preserve">Website → home / offer page</t>
  </si>
  <si>
    <t xml:space="preserve">Browse signed out, open an offer, save and share it.</t>
  </si>
  <si>
    <t xml:space="preserve">Mobile app screens: app developer.</t>
  </si>
  <si>
    <t xml:space="preserve">#13, #40</t>
  </si>
  <si>
    <t xml:space="preserve">④ Reserve Offer — two separate consents · ⑤ Confirm Reservation</t>
  </si>
  <si>
    <t xml:space="preserve">Two separate consent boxes (Nibbl / Brand email + SMS), both required to claim; separate confirmation; claim slot used on confirm.</t>
  </si>
  <si>
    <t xml:space="preserve">Website → offer → Claim This Offer</t>
  </si>
  <si>
    <t xml:space="preserve">Claim an offer and check both consent boxes.</t>
  </si>
  <si>
    <t xml:space="preserve">#17</t>
  </si>
  <si>
    <t xml:space="preserve">Active claim slots (e.g. 3 of 5)</t>
  </si>
  <si>
    <t xml:space="preserve">Hard cap per shopper; slots API for the '3 of 5' display.</t>
  </si>
  <si>
    <t xml:space="preserve">Backend / API + Shopper Website</t>
  </si>
  <si>
    <t xml:space="preserve">Website → My Rewards</t>
  </si>
  <si>
    <t xml:space="preserve">Claim offers until the limit is reached.</t>
  </si>
  <si>
    <t xml:space="preserve">#18</t>
  </si>
  <si>
    <t xml:space="preserve">⑥ Return Action Prompt — swipeable carousel; My Offers badge counts pending actions</t>
  </si>
  <si>
    <t xml:space="preserve">Swipeable carousel of pending actions: receipt cards (Submit Receipt, exact time remaining, Save for Later) and review cards (View Details, Save for Later); My Offers badge counts pending actions.</t>
  </si>
  <si>
    <t xml:space="preserve">Shopper Website / Mobile App (app developer)</t>
  </si>
  <si>
    <t xml:space="preserve">Website → home → Your Pending Rewards; header badge</t>
  </si>
  <si>
    <t xml:space="preserve">Claim an offer, then return to the home page and swipe the cards.</t>
  </si>
  <si>
    <t xml:space="preserve">Receipt Submission &amp; Validation</t>
  </si>
  <si>
    <t xml:space="preserve">Receipt submission and validation &amp; routing</t>
  </si>
  <si>
    <t xml:space="preserve">Upload inside the active claim; OCR captures date/time, retailer, transaction no., items, qty, price, tax, total; auto-accept / reject / manual review.</t>
  </si>
  <si>
    <t xml:space="preserve">Website → My Rewards → Upload receipt</t>
  </si>
  <si>
    <t xml:space="preserve">Upload a clear receipt (auto-verified) and an unclear one (manual review).</t>
  </si>
  <si>
    <t xml:space="preserve">OCR = AI service.</t>
  </si>
  <si>
    <t xml:space="preserve">#19, #21</t>
  </si>
  <si>
    <t xml:space="preserve">Duplicate Receipt and Quantity Allocation</t>
  </si>
  <si>
    <t xml:space="preserve">Physical-receipt identity; one shopper account per receipt; quantity 2 can fund two claims, never a unit twice.</t>
  </si>
  <si>
    <t xml:space="preserve">Upload the same receipt from a second account (rejected as duplicate).</t>
  </si>
  <si>
    <t xml:space="preserve">#19</t>
  </si>
  <si>
    <t xml:space="preserve">Receipt Outcomes (incl. one resubmission before the deadline)</t>
  </si>
  <si>
    <t xml:space="preserve">Accepted / manual review within 7 days / unreadable / date / retailer / final rejection outcomes.</t>
  </si>
  <si>
    <t xml:space="preserve">In Progress</t>
  </si>
  <si>
    <t xml:space="preserve">Website → My Rewards → receipt history</t>
  </si>
  <si>
    <t xml:space="preserve">Upload receipts that hit each outcome.</t>
  </si>
  <si>
    <t xml:space="preserve">Outcomes work; the in-app + email notification for each outcome isn't sent yet.</t>
  </si>
  <si>
    <t xml:space="preserve">Notifications and Reminders</t>
  </si>
  <si>
    <t xml:space="preserve">Receipt reminders 48h and 12h before the exact deadline (never extends it).</t>
  </si>
  <si>
    <t xml:space="preserve">Shopper notifications</t>
  </si>
  <si>
    <t xml:space="preserve">Claim an offer and wait for the reminder (or check the scheduled job).</t>
  </si>
  <si>
    <t xml:space="preserve">Not sent yet: reservation confirmation, receipt-submitted confirmation, approval/rejection (in-app + email), claim expiration.</t>
  </si>
  <si>
    <t xml:space="preserve">#20</t>
  </si>
  <si>
    <t xml:space="preserve">Rebate Restriction Pop-ups</t>
  </si>
  <si>
    <t xml:space="preserve">Pop-ups for required consent, all slots in use, already claimed, cooldown, one-time redeemed, not started, paused/ended, capacity exhausted and funds/end state (each with its own API code); eligible-retailer requirement shown on the offer.</t>
  </si>
  <si>
    <t xml:space="preserve">Website → offer → Claim</t>
  </si>
  <si>
    <t xml:space="preserve">Try to claim without both consents / while in cooldown / on a paused offer.</t>
  </si>
  <si>
    <t xml:space="preserve">Mobile app pop-ups: app developer (codes documented).</t>
  </si>
  <si>
    <t xml:space="preserve">#17, #18</t>
  </si>
  <si>
    <t xml:space="preserve">Brand Manual Review</t>
  </si>
  <si>
    <t xml:space="preserve">① Claim &amp; Customer Info · ② Full Receipt Viewer · ③ Locked Campaign Requirements</t>
  </si>
  <si>
    <t xml:space="preserve">Locked claim terms, receipt viewer with zoom / rotate / download.</t>
  </si>
  <si>
    <t xml:space="preserve">Redemptions → Pending → Review</t>
  </si>
  <si>
    <t xml:space="preserve">Open a receipt in manual review.</t>
  </si>
  <si>
    <t xml:space="preserve">#21</t>
  </si>
  <si>
    <t xml:space="preserve">④ Select Receipt Lines · ⑤ Confirm Product Mapping · ⑥ Optional Alias · ⑦ Calculated Reward &amp; Decision</t>
  </si>
  <si>
    <t xml:space="preserve">Select lines and correct qty/price (audit-logged), confirm mapping, optional alias, Nibbl-calculated reward, 8 standard rejection reasons.</t>
  </si>
  <si>
    <t xml:space="preserve">Approve one receipt with an alias and reject one with a reason.</t>
  </si>
  <si>
    <t xml:space="preserve">Brand Redemptions Page</t>
  </si>
  <si>
    <t xml:space="preserve">① Summary · ② Status Tabs · ③ Search &amp; Filters · ④ Table · ⑤ Priority Queue · ⑥ Pagination &amp; Export</t>
  </si>
  <si>
    <t xml:space="preserve">Summary, status tabs, table, priority, pagination and CSV export (customer identity follows the plan).</t>
  </si>
  <si>
    <t xml:space="preserve">Sidebar → Redemptions</t>
  </si>
  <si>
    <t xml:space="preserve">Switch tabs, search, click Export CSV.</t>
  </si>
  <si>
    <t xml:space="preserve">#21, #22</t>
  </si>
  <si>
    <t xml:space="preserve">Seven-Day Automatic Approval and Reward</t>
  </si>
  <si>
    <t xml:space="preserve">Auto-approves at the max reward when the deadline passes; labelled; countdown + warning in the queue.</t>
  </si>
  <si>
    <t xml:space="preserve">Redemptions → Pending (countdown)</t>
  </si>
  <si>
    <t xml:space="preserve">Check the countdown on a pending receipt.</t>
  </si>
  <si>
    <t xml:space="preserve">#22</t>
  </si>
  <si>
    <t xml:space="preserve">Review Management</t>
  </si>
  <si>
    <t xml:space="preserve">Performance summary, search &amp; filters, review list &amp; details</t>
  </si>
  <si>
    <t xml:space="preserve">Total reviews, low ratings awaiting action, average rating; filters by status / product / rating / dates; Q&amp;A, receipt and customer email.</t>
  </si>
  <si>
    <t xml:space="preserve">Reviews → Review Management</t>
  </si>
  <si>
    <t xml:space="preserve">Filter by rating and open a review.</t>
  </si>
  <si>
    <t xml:space="preserve">#26</t>
  </si>
  <si>
    <t xml:space="preserve">Low-Rating Response · Flag for Removal · Export Reviews</t>
  </si>
  <si>
    <t xml:space="preserve">1–3★ held 7 days for a public response or a flag (reason required); flagged reviews go to Admin; CSV export with disclosure.</t>
  </si>
  <si>
    <t xml:space="preserve">Review Management; Admin → Flagged Reviews</t>
  </si>
  <si>
    <t xml:space="preserve">Respond to a 2★ review, flag another, export CSV.</t>
  </si>
  <si>
    <t xml:space="preserve">Create Review Campaign</t>
  </si>
  <si>
    <t xml:space="preserve">Basics · Eligible Products · Optional Brand Questions · Controls · Locked Nibbl Rules and Cost</t>
  </si>
  <si>
    <t xml:space="preserve">Separate review campaign: dates, products, daily opportunities, product cooldown, brand question pool with suggestions, $1 + plan fee.</t>
  </si>
  <si>
    <t xml:space="preserve">Reviews → Create Review Campaign</t>
  </si>
  <si>
    <t xml:space="preserve">Create with an image, add questions, activate.</t>
  </si>
  <si>
    <t xml:space="preserve">#23</t>
  </si>
  <si>
    <t xml:space="preserve">Shopper Review Opportunity</t>
  </si>
  <si>
    <t xml:space="preserve">My Offers card · Confirm Product · Multiple Product Matches · Missing Consent · Share Your Voice · Begin Review</t>
  </si>
  <si>
    <t xml:space="preserve">Review opportunity cards from verified receipts; opening one starts the review chat.</t>
  </si>
  <si>
    <t xml:space="preserve">Website → My Rewards → review card</t>
  </si>
  <si>
    <t xml:space="preserve">Get a receipt verified for a product in a review campaign.</t>
  </si>
  <si>
    <t xml:space="preserve">Confirm Product, Multiple Product Matches and Missing Consent screens aren't built on the website; app screens by app developer.</t>
  </si>
  <si>
    <t xml:space="preserve">#23, #25</t>
  </si>
  <si>
    <t xml:space="preserve">Developer rules: $1, 30 days, max 5 per receipt, product cooldown, daily cap</t>
  </si>
  <si>
    <t xml:space="preserve">Opportunity only from a verified rebate receipt; $1 paid on submit; reserve released on expiry.</t>
  </si>
  <si>
    <t xml:space="preserve">Covered by automated tests; check Reserved Funds → reviews.</t>
  </si>
  <si>
    <t xml:space="preserve">#25</t>
  </si>
  <si>
    <t xml:space="preserve">AI Chat Review</t>
  </si>
  <si>
    <t xml:space="preserve">Load Product Information · Rotating Brand Question · Recommendation / Rating · Generated Review · Final Approval</t>
  </si>
  <si>
    <t xml:space="preserve">Chat with product questions, one rotated brand question, buy-again/recommend, AI draft the shopper edits/regenerates, rating, honest-review confirmation.</t>
  </si>
  <si>
    <t xml:space="preserve">Website → review card → chat</t>
  </si>
  <si>
    <t xml:space="preserve">Complete a review end to end; $1 lands in the wallet.</t>
  </si>
  <si>
    <t xml:space="preserve">Mobile app chat: app developer.</t>
  </si>
  <si>
    <t xml:space="preserve">#24</t>
  </si>
  <si>
    <t xml:space="preserve">Adaptive Product Questions (follow the shopper's answers)</t>
  </si>
  <si>
    <t xml:space="preserve">Backend calls the AI endpoint when it exists; fixed AI questions until then.</t>
  </si>
  <si>
    <t xml:space="preserve">In Review</t>
  </si>
  <si>
    <t xml:space="preserve">Waiting on the AI service endpoint (spec: docs/AI_REVIEW_ENDPOINTS_SPEC.md). No backend change needed when it's live.</t>
  </si>
  <si>
    <t xml:space="preserve">Ratings and Reviews Display</t>
  </si>
  <si>
    <t xml:space="preserve">Ratings in Campaign Details · All Product Reviews · Review Details &amp; Brand Response</t>
  </si>
  <si>
    <t xml:space="preserve">Published-only ratings, star distribution, recommendation rate, sort, helpful votes, disclosure, brand responses.</t>
  </si>
  <si>
    <t xml:space="preserve">Website → offer page → reviews</t>
  </si>
  <si>
    <t xml:space="preserve">Open an offer with reviews; sort and mark one helpful.</t>
  </si>
  <si>
    <t xml:space="preserve">#27</t>
  </si>
  <si>
    <t xml:space="preserve">Reviews Overview + AI Summary</t>
  </si>
  <si>
    <t xml:space="preserve">Overview built; AI summary appears when the AI endpoint exists.</t>
  </si>
  <si>
    <t xml:space="preserve">Waiting on the AI service summary endpoint.</t>
  </si>
  <si>
    <t xml:space="preserve">Brand Analytics</t>
  </si>
  <si>
    <t xml:space="preserve">1. Cost &amp; Results · 2. Customer &amp; Conversion · 3. Campaign Performance</t>
  </si>
  <si>
    <t xml:space="preserve">From actual wallet debits; views → claims, new vs returning; Exhausted Early / On Pace / Behind / Building Data.</t>
  </si>
  <si>
    <t xml:space="preserve">Sidebar → Analytics</t>
  </si>
  <si>
    <t xml:space="preserve">Compare cost with the Wallet ledger.</t>
  </si>
  <si>
    <t xml:space="preserve">#28</t>
  </si>
  <si>
    <t xml:space="preserve">Customers</t>
  </si>
  <si>
    <t xml:space="preserve">Customer Directory: summary, search &amp; filters, activity, download opted-in customers</t>
  </si>
  <si>
    <t xml:space="preserve">Consent badges, opt-out kept as history, filters, CSV of opted-in customers only (plan-gated).</t>
  </si>
  <si>
    <t xml:space="preserve">Sidebar → Customers</t>
  </si>
  <si>
    <t xml:space="preserve">Filter by open claim; download CSV.</t>
  </si>
  <si>
    <t xml:space="preserve">#29</t>
  </si>
  <si>
    <t xml:space="preserve">Consent withdrawal rule (keep history, Opted Out, excluded from downloads)</t>
  </si>
  <si>
    <t xml:space="preserve">Shopper opt-out keeps operational history and removes them from downloads.</t>
  </si>
  <si>
    <t xml:space="preserve">Shopper Website + Brand Dashboard</t>
  </si>
  <si>
    <t xml:space="preserve">Website → Profile → consents; Brand → Customers</t>
  </si>
  <si>
    <t xml:space="preserve">Opt out as a shopper; check the brand's download.</t>
  </si>
  <si>
    <t xml:space="preserve">Customer Profile: relationship, Nibbl activity, open claims &amp; cooldowns, redemption history, recent activity</t>
  </si>
  <si>
    <t xml:space="preserve">A customer profile page exists (older layout).</t>
  </si>
  <si>
    <t xml:space="preserve">Customers → open a customer</t>
  </si>
  <si>
    <t xml:space="preserve">Open a customer profile.</t>
  </si>
  <si>
    <t xml:space="preserve">Not yet to the Master layout: open claims &amp; cooldowns (remove cooldown with confirmation + audit), 30-day full-receipt rule in redemption history.</t>
  </si>
  <si>
    <t xml:space="preserve">#29, #46</t>
  </si>
  <si>
    <t xml:space="preserve">Coming-Soon Integrations (Klaviyo, Postscript, Shopify)</t>
  </si>
  <si>
    <t xml:space="preserve">Integration cards marked Coming Soon (not KPIs).</t>
  </si>
  <si>
    <t xml:space="preserve">Customers → Integrations</t>
  </si>
  <si>
    <t xml:space="preserve">Open Customers and scroll to Integrations.</t>
  </si>
  <si>
    <t xml:space="preserve">Brand Wallet</t>
  </si>
  <si>
    <t xml:space="preserve">1. Balances — Available, Reserved, Promotional Credits</t>
  </si>
  <si>
    <t xml:space="preserve">Available Funds, Reserved Funds (rebates / reviews), Promotional Credits with definitions.</t>
  </si>
  <si>
    <t xml:space="preserve">Sidebar → Wallet</t>
  </si>
  <si>
    <t xml:space="preserve">Claim an offer and watch Reserved Funds.</t>
  </si>
  <si>
    <t xml:space="preserve">#30</t>
  </si>
  <si>
    <t xml:space="preserve">2. Campaign Funding — 7-day need vs Available Funds</t>
  </si>
  <si>
    <t xml:space="preserve">Maximum 7-day need of all active rebate + review campaigns vs Available Funds, with 'All campaigns funded' / shortfall; reservations split; claims pause only at $0.</t>
  </si>
  <si>
    <t xml:space="preserve">Wallet → Overview → Campaign Funding</t>
  </si>
  <si>
    <t xml:space="preserve">Activate a campaign and compare the 7-day need with Available Funds.</t>
  </si>
  <si>
    <t xml:space="preserve">#30, #31</t>
  </si>
  <si>
    <t xml:space="preserve">3. Automatic Refill (Stripe)</t>
  </si>
  <si>
    <t xml:space="preserve">Triggers at 25% of the 7-day estimate; recommended amount; failure notification.</t>
  </si>
  <si>
    <t xml:space="preserve">Wallet → Automatic refill</t>
  </si>
  <si>
    <t xml:space="preserve">Save a card and enable auto-refill.</t>
  </si>
  <si>
    <t xml:space="preserve">Stripe is on TEST keys until go-live.</t>
  </si>
  <si>
    <t xml:space="preserve">#31</t>
  </si>
  <si>
    <t xml:space="preserve">4. Spending Overview (period summary)</t>
  </si>
  <si>
    <t xml:space="preserve">Rebate rewards, review rewards, fees, plan charges, credits applied, total cash spent for 7 / 30 / 90 days.</t>
  </si>
  <si>
    <t xml:space="preserve">Wallet → Overview → Spending Overview</t>
  </si>
  <si>
    <t xml:space="preserve">Switch the period.</t>
  </si>
  <si>
    <t xml:space="preserve">#32</t>
  </si>
  <si>
    <t xml:space="preserve">5. Weekly Statements + detailed ledger</t>
  </si>
  <si>
    <t xml:space="preserve">One row per week, downloadable; ledger CSV for a date range incl. reservations.</t>
  </si>
  <si>
    <t xml:space="preserve">Wallet → Overview → Weekly Statements</t>
  </si>
  <si>
    <t xml:space="preserve">Download a week and the ledger for a date range.</t>
  </si>
  <si>
    <t xml:space="preserve">Plans</t>
  </si>
  <si>
    <t xml:space="preserve">1. Current Plan · 2. Recommendation · 3. Plan Options · 4. Feature Comparison</t>
  </si>
  <si>
    <t xml:space="preserve">Current plan, renewal, campaign usage, 30-day spend, billing history, recommendation, Starter $39 / Pro $199 / Scale $999.</t>
  </si>
  <si>
    <t xml:space="preserve">Sidebar → Plans</t>
  </si>
  <si>
    <t xml:space="preserve">Open Plans and check the recommendation.</t>
  </si>
  <si>
    <t xml:space="preserve">#33, #34, #35</t>
  </si>
  <si>
    <t xml:space="preserve">5. Plan Changes (at next renewal; downgrade picks campaigns; cancellable)</t>
  </si>
  <si>
    <t xml:space="preserve">Self-serve change scheduled for renewal; downgrade asks which campaigns stay active; cancel before renewal.</t>
  </si>
  <si>
    <t xml:space="preserve">Plans → Switch at renewal</t>
  </si>
  <si>
    <t xml:space="preserve">Schedule a change and cancel it.</t>
  </si>
  <si>
    <t xml:space="preserve">Settings</t>
  </si>
  <si>
    <t xml:space="preserve">1. Brand Profile (name, website, support email, time zone)</t>
  </si>
  <si>
    <t xml:space="preserve">Includes default time zone applied to dashboard dates.</t>
  </si>
  <si>
    <t xml:space="preserve">Settings → Brand Profile</t>
  </si>
  <si>
    <t xml:space="preserve">Change the time zone; dates update.</t>
  </si>
  <si>
    <t xml:space="preserve">#36</t>
  </si>
  <si>
    <t xml:space="preserve">2. Team &amp; Permissions (Owner / Admin / Viewer)</t>
  </si>
  <si>
    <t xml:space="preserve">Viewer read-only; billing and team are Owner-only.</t>
  </si>
  <si>
    <t xml:space="preserve">Settings → Team</t>
  </si>
  <si>
    <t xml:space="preserve">Invite a Viewer and try an edit.</t>
  </si>
  <si>
    <t xml:space="preserve">3. Notifications (each member; Email + SMS per notification)</t>
  </si>
  <si>
    <t xml:space="preserve">Per-member toggles; emails sent per preference.</t>
  </si>
  <si>
    <t xml:space="preserve">Settings → Notifications</t>
  </si>
  <si>
    <t xml:space="preserve">Turn one email off and trigger it.</t>
  </si>
  <si>
    <t xml:space="preserve">SMS choices are stored; sending starts when Klaviyo is connected.</t>
  </si>
  <si>
    <t xml:space="preserve">4. Tracking &amp; Attribution (Meta Pixel; Google Tag / TikTok Coming Soon)</t>
  </si>
  <si>
    <t xml:space="preserve">Validated Pixel ID; Coming Soon cards.</t>
  </si>
  <si>
    <t xml:space="preserve">Settings → Tracking</t>
  </si>
  <si>
    <t xml:space="preserve">Save a 15-digit Pixel ID.</t>
  </si>
  <si>
    <t xml:space="preserve">#11, #36</t>
  </si>
  <si>
    <t xml:space="preserve">5. Security (passwordless status, sessions, last sign-in, sign out others)</t>
  </si>
  <si>
    <t xml:space="preserve">Real sessions with device / IP; sign out other sessions.</t>
  </si>
  <si>
    <t xml:space="preserve">Settings → Security</t>
  </si>
  <si>
    <t xml:space="preserve">Log in on two browsers; sign out the other.</t>
  </si>
  <si>
    <t xml:space="preserve">6. Account, Support &amp; Integrations (Owner closure; Klaviyo Coming Soon — Scale)</t>
  </si>
  <si>
    <t xml:space="preserve">Owner-only closure note (contact Nibbl Support); Klaviyo 'Coming Soon — Scale' card.</t>
  </si>
  <si>
    <t xml:space="preserve">Log in as Owner.</t>
  </si>
  <si>
    <t xml:space="preserve">Tag Generator</t>
  </si>
  <si>
    <t xml:space="preserve">Static 'Coming Soon' page</t>
  </si>
  <si>
    <t xml:space="preserve">Static page with existing header and navigation.</t>
  </si>
  <si>
    <t xml:space="preserve">Sidebar → Tag Generator</t>
  </si>
  <si>
    <t xml:space="preserve">Open the page.</t>
  </si>
  <si>
    <t xml:space="preserve">#37</t>
  </si>
  <si>
    <t xml:space="preserve">Brand Onboarding</t>
  </si>
  <si>
    <t xml:space="preserve">Brand Introduction · How Nibbl Works &amp; Plans</t>
  </si>
  <si>
    <t xml:space="preserve">Brand landing page.</t>
  </si>
  <si>
    <t xml:space="preserve">Brand site → landing page</t>
  </si>
  <si>
    <t xml:space="preserve">Open the brand landing page.</t>
  </si>
  <si>
    <t xml:space="preserve">#38</t>
  </si>
  <si>
    <t xml:space="preserve">Plan &amp; Account Setup (plan, company info, work email via secure link)</t>
  </si>
  <si>
    <t xml:space="preserve">Plan picker on register; verification email with a one-time secure link.</t>
  </si>
  <si>
    <t xml:space="preserve">Brand site → Register</t>
  </si>
  <si>
    <t xml:space="preserve">Register and open the emailed link.</t>
  </si>
  <si>
    <t xml:space="preserve">Checkout &amp; Activation (payment, promo credit, activate)</t>
  </si>
  <si>
    <t xml:space="preserve">Card payment for the first 30 days with promo codes; account activates automatically.</t>
  </si>
  <si>
    <t xml:space="preserve">After login → Checkout</t>
  </si>
  <si>
    <t xml:space="preserve">Pay with a Stripe test card or a covering promo code.</t>
  </si>
  <si>
    <t xml:space="preserve">Stripe on TEST keys until go-live.</t>
  </si>
  <si>
    <t xml:space="preserve">Dashboard &amp; Wallet Setup (growth goal, campaign setup, fund wallet)</t>
  </si>
  <si>
    <t xml:space="preserve">'Get ready to launch' checklist on the dashboard.</t>
  </si>
  <si>
    <t xml:space="preserve">Dashboard → Get ready to launch</t>
  </si>
  <si>
    <t xml:space="preserve">Pick a goal and follow the steps.</t>
  </si>
  <si>
    <t xml:space="preserve">Shopper Wallet &amp; Withdrawals</t>
  </si>
  <si>
    <t xml:space="preserve">1. Wallet and Reward Ledger</t>
  </si>
  <si>
    <t xml:space="preserve">Balance, pending vs approved rewards, activity, payout methods.</t>
  </si>
  <si>
    <t xml:space="preserve">Website → Wallet</t>
  </si>
  <si>
    <t xml:space="preserve">Check balance and activity after a redemption.</t>
  </si>
  <si>
    <t xml:space="preserve">Mobile app: app developer.</t>
  </si>
  <si>
    <t xml:space="preserve">#39</t>
  </si>
  <si>
    <t xml:space="preserve">2. Secure Withdrawal Flow (SMS verify; review routing)</t>
  </si>
  <si>
    <t xml:space="preserve">Amount → locked PayPal/Venmo → SMS code → submit; admin rules route to Manual Review.</t>
  </si>
  <si>
    <t xml:space="preserve">Website → Wallet → Withdraw</t>
  </si>
  <si>
    <t xml:space="preserve">Withdraw a small amount with SMS verification.</t>
  </si>
  <si>
    <t xml:space="preserve">#39, #41</t>
  </si>
  <si>
    <t xml:space="preserve">3. Refer a Friend (5-step qualification; deal links; progress)</t>
  </si>
  <si>
    <t xml:space="preserve">Referral link and deal link; reward only after all 5 steps; progress tracker.</t>
  </si>
  <si>
    <t xml:space="preserve">Website → My Rewards → Invite Friends</t>
  </si>
  <si>
    <t xml:space="preserve">Sign up from a ?ref= link and follow the steps.</t>
  </si>
  <si>
    <t xml:space="preserve">#40</t>
  </si>
  <si>
    <t xml:space="preserve">Restriction messages: duplicate payout account (Request Review) · payout-method change</t>
  </si>
  <si>
    <t xml:space="preserve">'Payout account already connected' pop-up with Request Review (both accounts' payments go to Manual Review); payout-method changes held for admin review.</t>
  </si>
  <si>
    <t xml:space="preserve">Website → Wallet → payout method</t>
  </si>
  <si>
    <t xml:space="preserve">Add a PayPal already used by another account, then Request Review.</t>
  </si>
  <si>
    <t xml:space="preserve">#41</t>
  </si>
  <si>
    <t xml:space="preserve">Admin — Sheet 1: Dashboard</t>
  </si>
  <si>
    <t xml:space="preserve">Revenue Summary · Needs Attention · Brand Revenue · Brand-Funded Rewards (date range)</t>
  </si>
  <si>
    <t xml:space="preserve">Revenue by source + trend, needs-attention links, brand revenue (lowest first), rewards shown separately.</t>
  </si>
  <si>
    <t xml:space="preserve">Admin Dashboard</t>
  </si>
  <si>
    <t xml:space="preserve">Admin → Dashboard</t>
  </si>
  <si>
    <t xml:space="preserve">Change the date range.</t>
  </si>
  <si>
    <t xml:space="preserve">Failed payouts show '—' until payout results are imported.</t>
  </si>
  <si>
    <t xml:space="preserve">#42</t>
  </si>
  <si>
    <t xml:space="preserve">Admin — Sheet 1: Withdrawals</t>
  </si>
  <si>
    <t xml:space="preserve">Status tabs · Batch summary · Create batch / download PayPal file</t>
  </si>
  <si>
    <t xml:space="preserve">Batches, approve / reject / mark paid, manual review for flagged requests.</t>
  </si>
  <si>
    <t xml:space="preserve">Admin → Withdraw Request / Payout Reviews</t>
  </si>
  <si>
    <t xml:space="preserve">Create a batch and download the file.</t>
  </si>
  <si>
    <t xml:space="preserve">#43</t>
  </si>
  <si>
    <t xml:space="preserve">Import PayPal results; Failed status; retry rules</t>
  </si>
  <si>
    <t xml:space="preserve">Admin Dashboard + Backend / API</t>
  </si>
  <si>
    <t xml:space="preserve">Importing PayPal results (Paid / Failed, partial success, retry) isn't built yet.</t>
  </si>
  <si>
    <t xml:space="preserve">Admin — Sheet 2: Brands</t>
  </si>
  <si>
    <t xml:space="preserve">Brand table, brand summary, actions (open dashboard, promo credit, suspend)</t>
  </si>
  <si>
    <t xml:space="preserve">Brand list with plan, promo credit and suspend.</t>
  </si>
  <si>
    <t xml:space="preserve">Admin → Brand</t>
  </si>
  <si>
    <t xml:space="preserve">Open a brand.</t>
  </si>
  <si>
    <t xml:space="preserve">Not yet: Nibbl revenue / payment status columns in the brand table, and the labelled 'viewing as Nibbl' superuser brand access.</t>
  </si>
  <si>
    <t xml:space="preserve">#45, #46</t>
  </si>
  <si>
    <t xml:space="preserve">Admin — Sheet 2: Campaign Approvals</t>
  </si>
  <si>
    <t xml:space="preserve">Queue, new vs revisions, campaign review, approve / reject / request changes</t>
  </si>
  <si>
    <t xml:space="preserve">Full approval queue.</t>
  </si>
  <si>
    <t xml:space="preserve">Admin → Campaign Approvals</t>
  </si>
  <si>
    <t xml:space="preserve">Approve a submitted campaign.</t>
  </si>
  <si>
    <t xml:space="preserve">#44</t>
  </si>
  <si>
    <t xml:space="preserve">Admin — Sheet 2: Promo Codes</t>
  </si>
  <si>
    <t xml:space="preserve">Promo code management, credit summary, create / add credit</t>
  </si>
  <si>
    <t xml:space="preserve">Reusable codes and direct brand credit; credits never fund shopper rewards.</t>
  </si>
  <si>
    <t xml:space="preserve">Admin → Promo Codes</t>
  </si>
  <si>
    <t xml:space="preserve">Create a code and redeem it as a brand.</t>
  </si>
  <si>
    <t xml:space="preserve">#45</t>
  </si>
  <si>
    <t xml:space="preserve">Admin — Sheet 3: Shoppers</t>
  </si>
  <si>
    <t xml:space="preserve">Shopper list, details, wallet adjustments with reason, global suspend</t>
  </si>
  <si>
    <t xml:space="preserve">Shopper list and details, wallet credit with reason, suspend, linked accounts.</t>
  </si>
  <si>
    <t xml:space="preserve">Admin → Users</t>
  </si>
  <si>
    <t xml:space="preserve">Open a shopper.</t>
  </si>
  <si>
    <t xml:space="preserve">Activity tabs (ledger, claims, reviews, referrals, suspensions), purchase relationships and internal notes to be completed.</t>
  </si>
  <si>
    <t xml:space="preserve">#46, #51</t>
  </si>
  <si>
    <t xml:space="preserve">Admin — Sheet 3: Suspensions</t>
  </si>
  <si>
    <t xml:space="preserve">Brand suspensions, repeated-suspension alert, global suspension</t>
  </si>
  <si>
    <t xml:space="preserve">Per-brand suspension and repeated-suspension alert.</t>
  </si>
  <si>
    <t xml:space="preserve">Admin Dashboard + Brand Dashboard</t>
  </si>
  <si>
    <t xml:space="preserve">Brand → Customers → Suspend</t>
  </si>
  <si>
    <t xml:space="preserve">Suspend a shopper from a brand.</t>
  </si>
  <si>
    <t xml:space="preserve">#46</t>
  </si>
  <si>
    <t xml:space="preserve">Admin — Sheet 3: Referrals</t>
  </si>
  <si>
    <t xml:space="preserve">Summary, filters (flagged separate), details, flag review (approve / reject / suspend)</t>
  </si>
  <si>
    <t xml:space="preserve">Admin Referrals page with flag reasons and decisions.</t>
  </si>
  <si>
    <t xml:space="preserve">Admin → Referrals</t>
  </si>
  <si>
    <t xml:space="preserve">Open the Flagged tab.</t>
  </si>
  <si>
    <t xml:space="preserve">#47</t>
  </si>
  <si>
    <t xml:space="preserve">Admin — Sheet 4: Revenue Analytics</t>
  </si>
  <si>
    <t xml:space="preserve">Revenue sources, net revenue, trend, brand contribution</t>
  </si>
  <si>
    <t xml:space="preserve">Subscriptions / rebate fees / review fees, credits applied, monthly trend, per-brand revenue.</t>
  </si>
  <si>
    <t xml:space="preserve">Check the Revenue Trend table.</t>
  </si>
  <si>
    <t xml:space="preserve">Refunds and Stripe processing costs aren't recorded yet.</t>
  </si>
  <si>
    <t xml:space="preserve">#49</t>
  </si>
  <si>
    <t xml:space="preserve">Admin — Sheet 4: Receipt Brand Discovery</t>
  </si>
  <si>
    <t xml:space="preserve">Summary, filters, receipt-derived leads, brand insight, export</t>
  </si>
  <si>
    <t xml:space="preserve">Unpartnered brands from verified receipts, outreach message, CSV export.</t>
  </si>
  <si>
    <t xml:space="preserve">Admin → Brand Discovery</t>
  </si>
  <si>
    <t xml:space="preserve">Open a lead and copy the outreach message.</t>
  </si>
  <si>
    <t xml:space="preserve">Brand is detected from receipt text (admin can rename / hide).</t>
  </si>
  <si>
    <t xml:space="preserve">#48</t>
  </si>
  <si>
    <t xml:space="preserve">Admin — Sheet 4: Settings</t>
  </si>
  <si>
    <t xml:space="preserve">Withdrawal review rules · Referral flag rules · Discovery ranking</t>
  </si>
  <si>
    <t xml:space="preserve">Thresholds, referral flag rules, ranking values, device/network limits.</t>
  </si>
  <si>
    <t xml:space="preserve">Admin → Settings</t>
  </si>
  <si>
    <t xml:space="preserve">Change a threshold and save.</t>
  </si>
  <si>
    <t xml:space="preserve">'Admin Users' screen (staff access and roles) isn't built yet.</t>
  </si>
  <si>
    <t xml:space="preserve">#50</t>
  </si>
  <si>
    <t xml:space="preserve">Cross-cutting</t>
  </si>
  <si>
    <t xml:space="preserve">Fraud &amp; abuse controls (duplicates, velocity, device / IP / browser)</t>
  </si>
  <si>
    <t xml:space="preserve">Duplicate receipts, velocity, device/network rules routing to manual review, linked accounts.</t>
  </si>
  <si>
    <t xml:space="preserve">Admin → Users → user detail</t>
  </si>
  <si>
    <t xml:space="preserve">Create 3 accounts on one browser; the 3rd's withdrawal goes to review.</t>
  </si>
  <si>
    <t xml:space="preserve">Mobile app must send X-Device-Id.</t>
  </si>
  <si>
    <t xml:space="preserve">#51</t>
  </si>
  <si>
    <t xml:space="preserve">Progress by Master Document Section</t>
  </si>
  <si>
    <t xml:space="preserve">Total</t>
  </si>
  <si>
    <t xml:space="preserve">Completion</t>
  </si>
  <si>
    <t xml:space="preserve">Open Dependencies (outside the development team)</t>
  </si>
  <si>
    <t xml:space="preserve">Owner</t>
  </si>
  <si>
    <t xml:space="preserve">What's Needed</t>
  </si>
  <si>
    <t xml:space="preserve">Current State</t>
  </si>
  <si>
    <t xml:space="preserve">AI service (Sakibur)</t>
  </si>
  <si>
    <t xml:space="preserve">Adaptive review questions + AI review summary endpoints</t>
  </si>
  <si>
    <t xml:space="preserve">docs/AI_REVIEW_ENDPOINTS_SPEC.md shared</t>
  </si>
  <si>
    <t xml:space="preserve">Mobile app developer</t>
  </si>
  <si>
    <t xml:space="preserve">App screens for discovery, claim, review chat, referrals; send X-Device-Id</t>
  </si>
  <si>
    <t xml:space="preserve">Consumer API handover doc updated</t>
  </si>
  <si>
    <t xml:space="preserve">Client — DNS</t>
  </si>
  <si>
    <t xml:space="preserve">www / brand / admin A records so the 3 web apps can be deployed</t>
  </si>
  <si>
    <t xml:space="preserve">Waiting on Cloudflare records</t>
  </si>
  <si>
    <t xml:space="preserve">Client — Stripe</t>
  </si>
  <si>
    <t xml:space="preserve">Switch production to live keys (keys received 10/7)</t>
  </si>
  <si>
    <t xml:space="preserve">Timing to be agreed — test cards stop working</t>
  </si>
  <si>
    <t xml:space="preserve">Client — AWS SES</t>
  </si>
  <si>
    <t xml:space="preserve">Move system email from Gmail to SES + bounce/complaint handling</t>
  </si>
  <si>
    <t xml:space="preserve">SES in sandbox until AWS approval</t>
  </si>
  <si>
    <t xml:space="preserve">Client — Twilio</t>
  </si>
  <si>
    <t xml:space="preserve">Lock verified phone numbers; change only via admin; keep history</t>
  </si>
  <si>
    <t xml:space="preserve">Twilio Verify already live</t>
  </si>
  <si>
    <t xml:space="preserve">Client — Firebase</t>
  </si>
  <si>
    <t xml:space="preserve">Push notifications via Workload Identity Federation (EC2 role sent)</t>
  </si>
  <si>
    <t xml:space="preserve">Waiting on client setup</t>
  </si>
  <si>
    <t xml:space="preserve">Client — Klaviyo</t>
  </si>
  <si>
    <t xml:space="preserve">Brand notification SMS + system SMS</t>
  </si>
  <si>
    <t xml:space="preserve">Klaviyo not integrated yet</t>
  </si>
  <si>
    <t xml:space="preserve">How to Use This Tracker</t>
  </si>
  <si>
    <t xml:space="preserve">Rows</t>
  </si>
  <si>
    <t xml:space="preserve">One row per section of the Master Document, in the Master's order. 'Checklist Ref' links to our internal 51-item checklist.</t>
  </si>
  <si>
    <t xml:space="preserve">Built and live on production (backend + brand / admin / shopper website).</t>
  </si>
  <si>
    <t xml:space="preserve">Partly built. 'Open Items / Notes' says exactly what is still missing.</t>
  </si>
  <si>
    <t xml:space="preserve">Built on our side; waiting on a third party to switch it on (e.g. the AI service endpoint).</t>
  </si>
  <si>
    <t xml:space="preserve">Not started yet.</t>
  </si>
  <si>
    <t xml:space="preserve">Screen path in the app. Brand Dashboard = brand.joinnibbl.com, Admin = admin.joinnibbl.com, Shopper Website = www.joinnibbl.com once the web apps are deployed (waiting on DNS); until then they run as a testable build against the live API.</t>
  </si>
  <si>
    <t xml:space="preserve">Short steps to see the requirement working. Use test accounts; Stripe is in test mode (card 4242 4242 4242 4242).</t>
  </si>
  <si>
    <t xml:space="preserve">Evidence</t>
  </si>
  <si>
    <t xml:space="preserve">Yellow cells — paste a screenshot or screen-recording link (e.g. Loom / Google Drive) for each row as it's demonstrated.</t>
  </si>
  <si>
    <t xml:space="preserve">Mobile app</t>
  </si>
  <si>
    <t xml:space="preserve">Rows marked 'Mobile App (app developer)' are built in the app by the app developer against the documented API.</t>
  </si>
  <si>
    <t xml:space="preserve">Status column</t>
  </si>
  <si>
    <t xml:space="preserve">Pick from the dropdown; the totals at the top and the 'Summary by Section' sheet update automatically.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</si>
</sst>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A365D"/>
      <name val="Roboto"/>
      <family val="0"/>
      <charset val="1"/>
    </font>
    <font>
      <i val="true"/>
      <sz val="9"/>
      <color rgb="FF66727F"/>
      <name val="Roboto"/>
      <family val="0"/>
      <charset val="1"/>
    </font>
    <font>
      <b val="true"/>
      <sz val="9"/>
      <color rgb="FF465469"/>
      <name val="Roboto"/>
      <family val="0"/>
      <charset val="1"/>
    </font>
    <font>
      <i val="true"/>
      <sz val="8"/>
      <color rgb="FF66727F"/>
      <name val="Roboto"/>
      <family val="0"/>
      <charset val="1"/>
    </font>
    <font>
      <b val="true"/>
      <sz val="10"/>
      <color rgb="FFFFFFFF"/>
      <name val="Roboto"/>
      <family val="0"/>
      <charset val="1"/>
    </font>
    <font>
      <sz val="10"/>
      <color rgb="FF1E293A"/>
      <name val="Roboto"/>
      <family val="0"/>
      <charset val="1"/>
    </font>
    <font>
      <b val="true"/>
      <sz val="10"/>
      <color rgb="FF1E293A"/>
      <name val="Roboto"/>
      <family val="0"/>
      <charset val="1"/>
    </font>
    <font>
      <b val="true"/>
      <sz val="16"/>
      <color rgb="FF1A365D"/>
      <name val="Roboto"/>
      <family val="0"/>
      <charset val="1"/>
    </font>
    <font>
      <b val="true"/>
      <sz val="10"/>
      <color rgb="FF1A365D"/>
      <name val="Roboto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8"/>
        <bgColor rgb="FFF1F3F5"/>
      </patternFill>
    </fill>
    <fill>
      <patternFill patternType="solid">
        <fgColor rgb="FFF6F8FB"/>
        <bgColor rgb="FFF1F3F5"/>
      </patternFill>
    </fill>
    <fill>
      <patternFill patternType="solid">
        <fgColor rgb="FF1A365D"/>
        <bgColor rgb="FF1E293A"/>
      </patternFill>
    </fill>
    <fill>
      <patternFill patternType="solid">
        <fgColor rgb="FFFFFBEA"/>
        <bgColor rgb="FFFFF4E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BFCCD8"/>
      </left>
      <right style="thin">
        <color rgb="FFBFCCD8"/>
      </right>
      <top style="thin">
        <color rgb="FFBFCCD8"/>
      </top>
      <bottom style="thin">
        <color rgb="FFE1E8EF"/>
      </bottom>
      <diagonal/>
    </border>
    <border diagonalUp="false" diagonalDown="false">
      <left style="thin">
        <color rgb="FFBFCCD8"/>
      </left>
      <right style="thin">
        <color rgb="FFBFCCD8"/>
      </right>
      <top style="thin">
        <color rgb="FFE1E8EF"/>
      </top>
      <bottom style="thin">
        <color rgb="FFE1E8EF"/>
      </bottom>
      <diagonal/>
    </border>
    <border diagonalUp="false" diagonalDown="false">
      <left style="thin">
        <color rgb="FFBFCCD8"/>
      </left>
      <right style="thin">
        <color rgb="FFBFCCD8"/>
      </right>
      <top style="thin">
        <color rgb="FFE1E8EF"/>
      </top>
      <bottom style="thin">
        <color rgb="FFBFCCD8"/>
      </bottom>
      <diagonal/>
    </border>
    <border diagonalUp="false" diagonalDown="false">
      <left/>
      <right/>
      <top style="thin">
        <color rgb="FF1A365D"/>
      </top>
      <bottom style="thin">
        <color rgb="FFE1E8EF"/>
      </bottom>
      <diagonal/>
    </border>
    <border diagonalUp="false" diagonalDown="false">
      <left style="thin">
        <color rgb="FFBFCCD8"/>
      </left>
      <right/>
      <top style="thin">
        <color rgb="FFE1E8EF"/>
      </top>
      <bottom style="thin">
        <color rgb="FFE1E8EF"/>
      </bottom>
      <diagonal/>
    </border>
    <border diagonalUp="false" diagonalDown="false">
      <left/>
      <right/>
      <top style="thin">
        <color rgb="FFE1E8EF"/>
      </top>
      <bottom style="thin">
        <color rgb="FFE1E8EF"/>
      </bottom>
      <diagonal/>
    </border>
    <border diagonalUp="false" diagonalDown="false">
      <left/>
      <right style="thin">
        <color rgb="FFBFCCD8"/>
      </right>
      <top style="thin">
        <color rgb="FFE1E8EF"/>
      </top>
      <bottom style="thin">
        <color rgb="FFE1E8EF"/>
      </bottom>
      <diagonal/>
    </border>
    <border diagonalUp="false" diagonalDown="false">
      <left/>
      <right/>
      <top/>
      <bottom style="thin">
        <color rgb="FFE1E8EF"/>
      </bottom>
      <diagonal/>
    </border>
    <border diagonalUp="false" diagonalDown="false">
      <left/>
      <right/>
      <top style="thin">
        <color rgb="FF1A365D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A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29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1F3F5"/>
          <bgColor rgb="FF000000"/>
        </patternFill>
      </fill>
    </dxf>
    <dxf>
      <fill>
        <patternFill patternType="solid">
          <fgColor rgb="FFFFF4E0"/>
          <bgColor rgb="FF000000"/>
        </patternFill>
      </fill>
    </dxf>
    <dxf>
      <fill>
        <patternFill patternType="solid">
          <fgColor rgb="FF1A4FB0"/>
          <bgColor rgb="FF000000"/>
        </patternFill>
      </fill>
    </dxf>
    <dxf>
      <fill>
        <patternFill patternType="solid">
          <fgColor rgb="FF1E7B3C"/>
          <bgColor rgb="FF000000"/>
        </patternFill>
      </fill>
    </dxf>
    <dxf>
      <fill>
        <patternFill patternType="solid">
          <fgColor rgb="FF5B6470"/>
          <bgColor rgb="FF000000"/>
        </patternFill>
      </fill>
    </dxf>
    <dxf>
      <fill>
        <patternFill patternType="solid">
          <fgColor rgb="FF9A5B00"/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ont>
        <b val="1"/>
        <color rgb="FF1E7B3C"/>
      </font>
      <fill>
        <patternFill>
          <bgColor rgb="FFE6F4EA"/>
        </patternFill>
      </fill>
    </dxf>
    <dxf>
      <font>
        <b val="1"/>
        <color rgb="FF9A5B00"/>
      </font>
      <fill>
        <patternFill>
          <bgColor rgb="FFFFF4E0"/>
        </patternFill>
      </fill>
    </dxf>
    <dxf>
      <font>
        <b val="1"/>
        <color rgb="FF1A4FB0"/>
      </font>
      <fill>
        <patternFill>
          <bgColor rgb="FFE8F0FE"/>
        </patternFill>
      </fill>
    </dxf>
    <dxf>
      <font>
        <b val="1"/>
        <color rgb="FF5B6470"/>
      </font>
      <fill>
        <patternFill>
          <bgColor rgb="FFF1F3F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C"/>
      <rgbColor rgb="FF000080"/>
      <rgbColor rgb="FF808000"/>
      <rgbColor rgb="FF800080"/>
      <rgbColor rgb="FF008080"/>
      <rgbColor rgb="FFBFCCD8"/>
      <rgbColor rgb="FF5B6470"/>
      <rgbColor rgb="FF9999FF"/>
      <rgbColor rgb="FF993366"/>
      <rgbColor rgb="FFFFFBEA"/>
      <rgbColor rgb="FFE6F4EA"/>
      <rgbColor rgb="FF660066"/>
      <rgbColor rgb="FFFF8080"/>
      <rgbColor rgb="FF1A4FB0"/>
      <rgbColor rgb="FFEEF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1E8EF"/>
      <rgbColor rgb="FFFFF4E0"/>
      <rgbColor rgb="FFF6F8FB"/>
      <rgbColor rgb="FFFF99CC"/>
      <rgbColor rgb="FFCC99FF"/>
      <rgbColor rgb="FFF1F3F5"/>
      <rgbColor rgb="FF3366FF"/>
      <rgbColor rgb="FF33CCCC"/>
      <rgbColor rgb="FF99CC00"/>
      <rgbColor rgb="FFFFCC00"/>
      <rgbColor rgb="FFFF9900"/>
      <rgbColor rgb="FFFF6600"/>
      <rgbColor rgb="FF66727F"/>
      <rgbColor rgb="FF969696"/>
      <rgbColor rgb="FF1A365D"/>
      <rgbColor rgb="FF339966"/>
      <rgbColor rgb="FF003300"/>
      <rgbColor rgb="FF333300"/>
      <rgbColor rgb="FF9A5B00"/>
      <rgbColor rgb="FF993366"/>
      <rgbColor rgb="FF465469"/>
      <rgbColor rgb="FF1E29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.75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50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40"/>
    <col collapsed="false" customWidth="true" hidden="false" outlineLevel="0" max="10" min="10" style="0" width="46"/>
    <col collapsed="false" customWidth="true" hidden="false" outlineLevel="0" max="11" min="11" style="0" width="30"/>
    <col collapsed="false" customWidth="true" hidden="false" outlineLevel="0" max="12" min="12" style="0" width="13"/>
  </cols>
  <sheetData>
    <row r="1" customFormat="false" ht="6.75" hidden="false" customHeight="true" outlineLevel="0" collapsed="false"/>
    <row r="2" customFormat="false" ht="27" hidden="false" customHeight="true" outlineLevel="0" collapsed="false">
      <c r="B2" s="1" t="s">
        <v>0</v>
      </c>
    </row>
    <row r="3" customFormat="false" ht="16.5" hidden="false" customHeight="true" outlineLevel="0" collapsed="false">
      <c r="B3" s="2" t="s">
        <v>1</v>
      </c>
    </row>
    <row r="4" customFormat="false" ht="18" hidden="false" customHeight="true" outlineLevel="0" collapsed="false"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</row>
    <row r="5" customFormat="false" ht="27" hidden="false" customHeight="true" outlineLevel="0" collapsed="false">
      <c r="C5" s="4" t="n">
        <f aca="false">COUNTA(D9:D105)</f>
        <v>97</v>
      </c>
      <c r="D5" s="4" t="n">
        <f aca="false">COUNTIF(F9:F105,"Completed")</f>
        <v>86</v>
      </c>
      <c r="E5" s="4" t="n">
        <f aca="false">COUNTIF(F9:F105,"In Progress")</f>
        <v>7</v>
      </c>
      <c r="F5" s="4" t="n">
        <f aca="false">COUNTIF(F9:F105,"In Review")</f>
        <v>2</v>
      </c>
      <c r="G5" s="4" t="n">
        <f aca="false">COUNTIF(F9:F105,"Planned")</f>
        <v>2</v>
      </c>
      <c r="H5" s="5" t="n">
        <f aca="false">IF(C5&gt;0,D5/C5,0)</f>
        <v>0.88659793814433</v>
      </c>
    </row>
    <row r="6" customFormat="false" ht="24" hidden="false" customHeight="true" outlineLevel="0" collapsed="false">
      <c r="C6" s="6" t="s">
        <v>8</v>
      </c>
      <c r="D6" s="6" t="s">
        <v>9</v>
      </c>
      <c r="E6" s="6" t="s">
        <v>10</v>
      </c>
      <c r="F6" s="6" t="s">
        <v>11</v>
      </c>
      <c r="G6" s="6" t="s">
        <v>12</v>
      </c>
      <c r="H6" s="6" t="s">
        <v>13</v>
      </c>
    </row>
    <row r="7" customFormat="false" ht="12" hidden="false" customHeight="true" outlineLevel="0" collapsed="false"/>
    <row r="8" customFormat="false" ht="30" hidden="false" customHeight="true" outlineLevel="0" collapsed="false">
      <c r="B8" s="7" t="s">
        <v>14</v>
      </c>
      <c r="C8" s="8" t="s">
        <v>15</v>
      </c>
      <c r="D8" s="8" t="s">
        <v>16</v>
      </c>
      <c r="E8" s="8" t="s">
        <v>17</v>
      </c>
      <c r="F8" s="7" t="s">
        <v>18</v>
      </c>
      <c r="G8" s="8" t="s">
        <v>19</v>
      </c>
      <c r="H8" s="8" t="s">
        <v>20</v>
      </c>
      <c r="I8" s="8" t="s">
        <v>21</v>
      </c>
      <c r="J8" s="8" t="s">
        <v>22</v>
      </c>
      <c r="K8" s="8" t="s">
        <v>23</v>
      </c>
      <c r="L8" s="7" t="s">
        <v>24</v>
      </c>
    </row>
    <row r="9" customFormat="false" ht="33.75" hidden="false" customHeight="true" outlineLevel="0" collapsed="false">
      <c r="B9" s="9" t="n">
        <v>1</v>
      </c>
      <c r="C9" s="10" t="s">
        <v>25</v>
      </c>
      <c r="D9" s="10" t="s">
        <v>26</v>
      </c>
      <c r="E9" s="10" t="s">
        <v>27</v>
      </c>
      <c r="F9" s="11" t="s">
        <v>28</v>
      </c>
      <c r="G9" s="10" t="s">
        <v>29</v>
      </c>
      <c r="H9" s="10" t="s">
        <v>30</v>
      </c>
      <c r="I9" s="10" t="s">
        <v>31</v>
      </c>
      <c r="J9" s="10"/>
      <c r="K9" s="12"/>
      <c r="L9" s="13" t="s">
        <v>32</v>
      </c>
    </row>
    <row r="10" customFormat="false" ht="33.75" hidden="false" customHeight="true" outlineLevel="0" collapsed="false">
      <c r="B10" s="9" t="n">
        <v>2</v>
      </c>
      <c r="C10" s="10" t="s">
        <v>25</v>
      </c>
      <c r="D10" s="10" t="s">
        <v>33</v>
      </c>
      <c r="E10" s="10" t="s">
        <v>34</v>
      </c>
      <c r="F10" s="11" t="s">
        <v>28</v>
      </c>
      <c r="G10" s="10" t="s">
        <v>29</v>
      </c>
      <c r="H10" s="10" t="s">
        <v>35</v>
      </c>
      <c r="I10" s="10" t="s">
        <v>36</v>
      </c>
      <c r="J10" s="10"/>
      <c r="K10" s="12"/>
      <c r="L10" s="13" t="s">
        <v>37</v>
      </c>
    </row>
    <row r="11" customFormat="false" ht="25.5" hidden="false" customHeight="true" outlineLevel="0" collapsed="false">
      <c r="B11" s="9" t="n">
        <v>3</v>
      </c>
      <c r="C11" s="10" t="s">
        <v>25</v>
      </c>
      <c r="D11" s="10" t="s">
        <v>38</v>
      </c>
      <c r="E11" s="10" t="s">
        <v>39</v>
      </c>
      <c r="F11" s="11" t="s">
        <v>28</v>
      </c>
      <c r="G11" s="10" t="s">
        <v>29</v>
      </c>
      <c r="H11" s="10" t="s">
        <v>40</v>
      </c>
      <c r="I11" s="10" t="s">
        <v>41</v>
      </c>
      <c r="J11" s="10"/>
      <c r="K11" s="12"/>
      <c r="L11" s="13" t="s">
        <v>42</v>
      </c>
    </row>
    <row r="12" customFormat="false" ht="48" hidden="false" customHeight="true" outlineLevel="0" collapsed="false">
      <c r="B12" s="9" t="n">
        <v>4</v>
      </c>
      <c r="C12" s="10" t="s">
        <v>25</v>
      </c>
      <c r="D12" s="10" t="s">
        <v>43</v>
      </c>
      <c r="E12" s="10" t="s">
        <v>44</v>
      </c>
      <c r="F12" s="11" t="s">
        <v>28</v>
      </c>
      <c r="G12" s="10" t="s">
        <v>29</v>
      </c>
      <c r="H12" s="10" t="s">
        <v>30</v>
      </c>
      <c r="I12" s="10" t="s">
        <v>45</v>
      </c>
      <c r="J12" s="10"/>
      <c r="K12" s="12"/>
      <c r="L12" s="13" t="s">
        <v>46</v>
      </c>
    </row>
    <row r="13" customFormat="false" ht="33.75" hidden="false" customHeight="true" outlineLevel="0" collapsed="false">
      <c r="B13" s="9" t="n">
        <v>5</v>
      </c>
      <c r="C13" s="10" t="s">
        <v>25</v>
      </c>
      <c r="D13" s="10" t="s">
        <v>47</v>
      </c>
      <c r="E13" s="10" t="s">
        <v>48</v>
      </c>
      <c r="F13" s="11" t="s">
        <v>28</v>
      </c>
      <c r="G13" s="10" t="s">
        <v>29</v>
      </c>
      <c r="H13" s="10" t="s">
        <v>49</v>
      </c>
      <c r="I13" s="10" t="s">
        <v>50</v>
      </c>
      <c r="J13" s="10"/>
      <c r="K13" s="12"/>
      <c r="L13" s="13" t="s">
        <v>46</v>
      </c>
    </row>
    <row r="14" customFormat="false" ht="33.75" hidden="false" customHeight="true" outlineLevel="0" collapsed="false">
      <c r="B14" s="9" t="n">
        <v>6</v>
      </c>
      <c r="C14" s="10" t="s">
        <v>51</v>
      </c>
      <c r="D14" s="10" t="s">
        <v>52</v>
      </c>
      <c r="E14" s="10" t="s">
        <v>53</v>
      </c>
      <c r="F14" s="11" t="s">
        <v>28</v>
      </c>
      <c r="G14" s="10" t="s">
        <v>29</v>
      </c>
      <c r="H14" s="10" t="s">
        <v>54</v>
      </c>
      <c r="I14" s="10" t="s">
        <v>55</v>
      </c>
      <c r="J14" s="10"/>
      <c r="K14" s="12"/>
      <c r="L14" s="13" t="s">
        <v>56</v>
      </c>
    </row>
    <row r="15" customFormat="false" ht="33.75" hidden="false" customHeight="true" outlineLevel="0" collapsed="false">
      <c r="B15" s="9" t="n">
        <v>7</v>
      </c>
      <c r="C15" s="10" t="s">
        <v>51</v>
      </c>
      <c r="D15" s="10" t="s">
        <v>57</v>
      </c>
      <c r="E15" s="10" t="s">
        <v>58</v>
      </c>
      <c r="F15" s="11" t="s">
        <v>28</v>
      </c>
      <c r="G15" s="10" t="s">
        <v>29</v>
      </c>
      <c r="H15" s="10" t="s">
        <v>59</v>
      </c>
      <c r="I15" s="10" t="s">
        <v>60</v>
      </c>
      <c r="J15" s="10"/>
      <c r="K15" s="12"/>
      <c r="L15" s="13" t="s">
        <v>56</v>
      </c>
    </row>
    <row r="16" customFormat="false" ht="33.75" hidden="false" customHeight="true" outlineLevel="0" collapsed="false">
      <c r="B16" s="9" t="n">
        <v>8</v>
      </c>
      <c r="C16" s="10" t="s">
        <v>51</v>
      </c>
      <c r="D16" s="10" t="s">
        <v>61</v>
      </c>
      <c r="E16" s="10" t="s">
        <v>62</v>
      </c>
      <c r="F16" s="11" t="s">
        <v>28</v>
      </c>
      <c r="G16" s="10" t="s">
        <v>63</v>
      </c>
      <c r="H16" s="10" t="s">
        <v>64</v>
      </c>
      <c r="I16" s="10" t="s">
        <v>65</v>
      </c>
      <c r="J16" s="10"/>
      <c r="K16" s="12"/>
      <c r="L16" s="13" t="s">
        <v>66</v>
      </c>
    </row>
    <row r="17" customFormat="false" ht="48" hidden="false" customHeight="true" outlineLevel="0" collapsed="false">
      <c r="B17" s="9" t="n">
        <v>9</v>
      </c>
      <c r="C17" s="10" t="s">
        <v>51</v>
      </c>
      <c r="D17" s="10" t="s">
        <v>67</v>
      </c>
      <c r="E17" s="10" t="s">
        <v>68</v>
      </c>
      <c r="F17" s="11" t="s">
        <v>69</v>
      </c>
      <c r="G17" s="10" t="s">
        <v>70</v>
      </c>
      <c r="H17" s="10" t="s">
        <v>71</v>
      </c>
      <c r="I17" s="10" t="s">
        <v>72</v>
      </c>
      <c r="J17" s="10" t="s">
        <v>73</v>
      </c>
      <c r="K17" s="12"/>
      <c r="L17" s="13" t="s">
        <v>72</v>
      </c>
    </row>
    <row r="18" customFormat="false" ht="33.75" hidden="false" customHeight="true" outlineLevel="0" collapsed="false">
      <c r="B18" s="9" t="n">
        <v>10</v>
      </c>
      <c r="C18" s="10" t="s">
        <v>51</v>
      </c>
      <c r="D18" s="10" t="s">
        <v>74</v>
      </c>
      <c r="E18" s="10" t="s">
        <v>75</v>
      </c>
      <c r="F18" s="11" t="s">
        <v>28</v>
      </c>
      <c r="G18" s="10" t="s">
        <v>29</v>
      </c>
      <c r="H18" s="10" t="s">
        <v>76</v>
      </c>
      <c r="I18" s="10" t="s">
        <v>77</v>
      </c>
      <c r="J18" s="10"/>
      <c r="K18" s="12"/>
      <c r="L18" s="13" t="s">
        <v>78</v>
      </c>
    </row>
    <row r="19" customFormat="false" ht="33.75" hidden="false" customHeight="true" outlineLevel="0" collapsed="false">
      <c r="B19" s="9" t="n">
        <v>11</v>
      </c>
      <c r="C19" s="10" t="s">
        <v>51</v>
      </c>
      <c r="D19" s="10" t="s">
        <v>79</v>
      </c>
      <c r="E19" s="10" t="s">
        <v>80</v>
      </c>
      <c r="F19" s="11" t="s">
        <v>28</v>
      </c>
      <c r="G19" s="10" t="s">
        <v>29</v>
      </c>
      <c r="H19" s="10" t="s">
        <v>81</v>
      </c>
      <c r="I19" s="10" t="s">
        <v>82</v>
      </c>
      <c r="J19" s="10"/>
      <c r="K19" s="12"/>
      <c r="L19" s="13" t="s">
        <v>83</v>
      </c>
    </row>
    <row r="20" customFormat="false" ht="33.75" hidden="false" customHeight="true" outlineLevel="0" collapsed="false">
      <c r="B20" s="9" t="n">
        <v>12</v>
      </c>
      <c r="C20" s="10" t="s">
        <v>51</v>
      </c>
      <c r="D20" s="10" t="s">
        <v>84</v>
      </c>
      <c r="E20" s="10" t="s">
        <v>85</v>
      </c>
      <c r="F20" s="11" t="s">
        <v>28</v>
      </c>
      <c r="G20" s="10" t="s">
        <v>29</v>
      </c>
      <c r="H20" s="10" t="s">
        <v>86</v>
      </c>
      <c r="I20" s="10" t="s">
        <v>87</v>
      </c>
      <c r="J20" s="10"/>
      <c r="K20" s="12"/>
      <c r="L20" s="13" t="s">
        <v>83</v>
      </c>
    </row>
    <row r="21" customFormat="false" ht="33.75" hidden="false" customHeight="true" outlineLevel="0" collapsed="false">
      <c r="B21" s="9" t="n">
        <v>13</v>
      </c>
      <c r="C21" s="10" t="s">
        <v>88</v>
      </c>
      <c r="D21" s="10" t="s">
        <v>89</v>
      </c>
      <c r="E21" s="10" t="s">
        <v>90</v>
      </c>
      <c r="F21" s="11" t="s">
        <v>28</v>
      </c>
      <c r="G21" s="10" t="s">
        <v>29</v>
      </c>
      <c r="H21" s="10" t="s">
        <v>91</v>
      </c>
      <c r="I21" s="10" t="s">
        <v>92</v>
      </c>
      <c r="J21" s="10"/>
      <c r="K21" s="12"/>
      <c r="L21" s="13" t="s">
        <v>93</v>
      </c>
    </row>
    <row r="22" customFormat="false" ht="33.75" hidden="false" customHeight="true" outlineLevel="0" collapsed="false">
      <c r="B22" s="9" t="n">
        <v>14</v>
      </c>
      <c r="C22" s="10" t="s">
        <v>88</v>
      </c>
      <c r="D22" s="10" t="s">
        <v>94</v>
      </c>
      <c r="E22" s="10" t="s">
        <v>95</v>
      </c>
      <c r="F22" s="11" t="s">
        <v>28</v>
      </c>
      <c r="G22" s="10" t="s">
        <v>29</v>
      </c>
      <c r="H22" s="10" t="s">
        <v>96</v>
      </c>
      <c r="I22" s="10" t="s">
        <v>97</v>
      </c>
      <c r="J22" s="10"/>
      <c r="K22" s="12"/>
      <c r="L22" s="13" t="s">
        <v>98</v>
      </c>
    </row>
    <row r="23" customFormat="false" ht="33.75" hidden="false" customHeight="true" outlineLevel="0" collapsed="false">
      <c r="B23" s="9" t="n">
        <v>15</v>
      </c>
      <c r="C23" s="10" t="s">
        <v>88</v>
      </c>
      <c r="D23" s="10" t="s">
        <v>99</v>
      </c>
      <c r="E23" s="10" t="s">
        <v>100</v>
      </c>
      <c r="F23" s="11" t="s">
        <v>28</v>
      </c>
      <c r="G23" s="10" t="s">
        <v>63</v>
      </c>
      <c r="H23" s="10" t="s">
        <v>101</v>
      </c>
      <c r="I23" s="10" t="s">
        <v>102</v>
      </c>
      <c r="J23" s="10"/>
      <c r="K23" s="12"/>
      <c r="L23" s="13" t="s">
        <v>98</v>
      </c>
    </row>
    <row r="24" customFormat="false" ht="33.75" hidden="false" customHeight="true" outlineLevel="0" collapsed="false">
      <c r="B24" s="9" t="n">
        <v>16</v>
      </c>
      <c r="C24" s="10" t="s">
        <v>88</v>
      </c>
      <c r="D24" s="10" t="s">
        <v>103</v>
      </c>
      <c r="E24" s="10" t="s">
        <v>104</v>
      </c>
      <c r="F24" s="11" t="s">
        <v>28</v>
      </c>
      <c r="G24" s="10" t="s">
        <v>29</v>
      </c>
      <c r="H24" s="10" t="s">
        <v>105</v>
      </c>
      <c r="I24" s="10" t="s">
        <v>106</v>
      </c>
      <c r="J24" s="10"/>
      <c r="K24" s="12"/>
      <c r="L24" s="13" t="s">
        <v>98</v>
      </c>
    </row>
    <row r="25" customFormat="false" ht="33.75" hidden="false" customHeight="true" outlineLevel="0" collapsed="false">
      <c r="B25" s="9" t="n">
        <v>17</v>
      </c>
      <c r="C25" s="10" t="s">
        <v>88</v>
      </c>
      <c r="D25" s="10" t="s">
        <v>107</v>
      </c>
      <c r="E25" s="10" t="s">
        <v>108</v>
      </c>
      <c r="F25" s="11" t="s">
        <v>28</v>
      </c>
      <c r="G25" s="10" t="s">
        <v>29</v>
      </c>
      <c r="H25" s="10" t="s">
        <v>109</v>
      </c>
      <c r="I25" s="10" t="s">
        <v>110</v>
      </c>
      <c r="J25" s="10"/>
      <c r="K25" s="12"/>
      <c r="L25" s="13" t="s">
        <v>111</v>
      </c>
    </row>
    <row r="26" customFormat="false" ht="33.75" hidden="false" customHeight="true" outlineLevel="0" collapsed="false">
      <c r="B26" s="9" t="n">
        <v>18</v>
      </c>
      <c r="C26" s="10" t="s">
        <v>88</v>
      </c>
      <c r="D26" s="10" t="s">
        <v>112</v>
      </c>
      <c r="E26" s="10" t="s">
        <v>113</v>
      </c>
      <c r="F26" s="11" t="s">
        <v>28</v>
      </c>
      <c r="G26" s="10" t="s">
        <v>63</v>
      </c>
      <c r="H26" s="10" t="s">
        <v>114</v>
      </c>
      <c r="I26" s="10" t="s">
        <v>115</v>
      </c>
      <c r="J26" s="10"/>
      <c r="K26" s="12"/>
      <c r="L26" s="13" t="s">
        <v>111</v>
      </c>
    </row>
    <row r="27" customFormat="false" ht="33.75" hidden="false" customHeight="true" outlineLevel="0" collapsed="false">
      <c r="B27" s="9" t="n">
        <v>19</v>
      </c>
      <c r="C27" s="10" t="s">
        <v>88</v>
      </c>
      <c r="D27" s="10" t="s">
        <v>116</v>
      </c>
      <c r="E27" s="10" t="s">
        <v>117</v>
      </c>
      <c r="F27" s="11" t="s">
        <v>28</v>
      </c>
      <c r="G27" s="10" t="s">
        <v>63</v>
      </c>
      <c r="H27" s="10" t="s">
        <v>118</v>
      </c>
      <c r="I27" s="10" t="s">
        <v>119</v>
      </c>
      <c r="J27" s="10"/>
      <c r="K27" s="12"/>
      <c r="L27" s="13" t="s">
        <v>120</v>
      </c>
    </row>
    <row r="28" customFormat="false" ht="33.75" hidden="false" customHeight="true" outlineLevel="0" collapsed="false">
      <c r="B28" s="9" t="n">
        <v>20</v>
      </c>
      <c r="C28" s="10" t="s">
        <v>88</v>
      </c>
      <c r="D28" s="10" t="s">
        <v>121</v>
      </c>
      <c r="E28" s="10" t="s">
        <v>122</v>
      </c>
      <c r="F28" s="11" t="s">
        <v>28</v>
      </c>
      <c r="G28" s="10" t="s">
        <v>29</v>
      </c>
      <c r="H28" s="10" t="s">
        <v>123</v>
      </c>
      <c r="I28" s="10" t="s">
        <v>124</v>
      </c>
      <c r="J28" s="10"/>
      <c r="K28" s="12"/>
      <c r="L28" s="13" t="s">
        <v>125</v>
      </c>
    </row>
    <row r="29" customFormat="false" ht="33.75" hidden="false" customHeight="true" outlineLevel="0" collapsed="false">
      <c r="B29" s="9" t="n">
        <v>21</v>
      </c>
      <c r="C29" s="10" t="s">
        <v>88</v>
      </c>
      <c r="D29" s="10" t="s">
        <v>126</v>
      </c>
      <c r="E29" s="10" t="s">
        <v>127</v>
      </c>
      <c r="F29" s="11" t="s">
        <v>28</v>
      </c>
      <c r="G29" s="10" t="s">
        <v>63</v>
      </c>
      <c r="H29" s="10" t="s">
        <v>128</v>
      </c>
      <c r="I29" s="10" t="s">
        <v>129</v>
      </c>
      <c r="J29" s="10"/>
      <c r="K29" s="12"/>
      <c r="L29" s="13" t="s">
        <v>130</v>
      </c>
    </row>
    <row r="30" customFormat="false" ht="33.75" hidden="false" customHeight="true" outlineLevel="0" collapsed="false">
      <c r="B30" s="9" t="n">
        <v>22</v>
      </c>
      <c r="C30" s="10" t="s">
        <v>88</v>
      </c>
      <c r="D30" s="10" t="s">
        <v>131</v>
      </c>
      <c r="E30" s="10" t="s">
        <v>132</v>
      </c>
      <c r="F30" s="11" t="s">
        <v>28</v>
      </c>
      <c r="G30" s="10" t="s">
        <v>133</v>
      </c>
      <c r="H30" s="10" t="s">
        <v>134</v>
      </c>
      <c r="I30" s="10" t="s">
        <v>135</v>
      </c>
      <c r="J30" s="10" t="s">
        <v>136</v>
      </c>
      <c r="K30" s="12"/>
      <c r="L30" s="13" t="s">
        <v>137</v>
      </c>
    </row>
    <row r="31" customFormat="false" ht="33.75" hidden="false" customHeight="true" outlineLevel="0" collapsed="false">
      <c r="B31" s="9" t="n">
        <v>23</v>
      </c>
      <c r="C31" s="10" t="s">
        <v>88</v>
      </c>
      <c r="D31" s="10" t="s">
        <v>138</v>
      </c>
      <c r="E31" s="10" t="s">
        <v>139</v>
      </c>
      <c r="F31" s="11" t="s">
        <v>28</v>
      </c>
      <c r="G31" s="10" t="s">
        <v>29</v>
      </c>
      <c r="H31" s="10" t="s">
        <v>140</v>
      </c>
      <c r="I31" s="10" t="s">
        <v>141</v>
      </c>
      <c r="J31" s="10"/>
      <c r="K31" s="12"/>
      <c r="L31" s="13" t="s">
        <v>98</v>
      </c>
    </row>
    <row r="32" customFormat="false" ht="33.75" hidden="false" customHeight="true" outlineLevel="0" collapsed="false">
      <c r="B32" s="9" t="n">
        <v>24</v>
      </c>
      <c r="C32" s="10" t="s">
        <v>88</v>
      </c>
      <c r="D32" s="10" t="s">
        <v>142</v>
      </c>
      <c r="E32" s="10" t="s">
        <v>143</v>
      </c>
      <c r="F32" s="11" t="s">
        <v>28</v>
      </c>
      <c r="G32" s="10" t="s">
        <v>70</v>
      </c>
      <c r="H32" s="10" t="s">
        <v>144</v>
      </c>
      <c r="I32" s="10" t="s">
        <v>145</v>
      </c>
      <c r="J32" s="10"/>
      <c r="K32" s="12"/>
      <c r="L32" s="13" t="s">
        <v>146</v>
      </c>
    </row>
    <row r="33" customFormat="false" ht="33.75" hidden="false" customHeight="true" outlineLevel="0" collapsed="false">
      <c r="B33" s="9" t="n">
        <v>25</v>
      </c>
      <c r="C33" s="10" t="s">
        <v>88</v>
      </c>
      <c r="D33" s="10" t="s">
        <v>147</v>
      </c>
      <c r="E33" s="10" t="s">
        <v>148</v>
      </c>
      <c r="F33" s="11" t="s">
        <v>28</v>
      </c>
      <c r="G33" s="10" t="s">
        <v>149</v>
      </c>
      <c r="H33" s="10" t="s">
        <v>150</v>
      </c>
      <c r="I33" s="10" t="s">
        <v>151</v>
      </c>
      <c r="J33" s="10"/>
      <c r="K33" s="12"/>
      <c r="L33" s="13" t="s">
        <v>152</v>
      </c>
    </row>
    <row r="34" customFormat="false" ht="48" hidden="false" customHeight="true" outlineLevel="0" collapsed="false">
      <c r="B34" s="9" t="n">
        <v>26</v>
      </c>
      <c r="C34" s="10" t="s">
        <v>153</v>
      </c>
      <c r="D34" s="10" t="s">
        <v>154</v>
      </c>
      <c r="E34" s="10" t="s">
        <v>155</v>
      </c>
      <c r="F34" s="11" t="s">
        <v>28</v>
      </c>
      <c r="G34" s="10" t="s">
        <v>156</v>
      </c>
      <c r="H34" s="10" t="s">
        <v>157</v>
      </c>
      <c r="I34" s="10" t="s">
        <v>158</v>
      </c>
      <c r="J34" s="10"/>
      <c r="K34" s="12"/>
      <c r="L34" s="13" t="s">
        <v>159</v>
      </c>
    </row>
    <row r="35" customFormat="false" ht="33.75" hidden="false" customHeight="true" outlineLevel="0" collapsed="false">
      <c r="B35" s="9" t="n">
        <v>27</v>
      </c>
      <c r="C35" s="10" t="s">
        <v>160</v>
      </c>
      <c r="D35" s="10" t="s">
        <v>161</v>
      </c>
      <c r="E35" s="10" t="s">
        <v>162</v>
      </c>
      <c r="F35" s="11" t="s">
        <v>28</v>
      </c>
      <c r="G35" s="10" t="s">
        <v>29</v>
      </c>
      <c r="H35" s="10" t="s">
        <v>163</v>
      </c>
      <c r="I35" s="10" t="s">
        <v>164</v>
      </c>
      <c r="J35" s="10"/>
      <c r="K35" s="12"/>
      <c r="L35" s="13" t="s">
        <v>165</v>
      </c>
    </row>
    <row r="36" customFormat="false" ht="48" hidden="false" customHeight="true" outlineLevel="0" collapsed="false">
      <c r="B36" s="9" t="n">
        <v>28</v>
      </c>
      <c r="C36" s="10" t="s">
        <v>160</v>
      </c>
      <c r="D36" s="10" t="s">
        <v>166</v>
      </c>
      <c r="E36" s="10" t="s">
        <v>167</v>
      </c>
      <c r="F36" s="11" t="s">
        <v>28</v>
      </c>
      <c r="G36" s="10" t="s">
        <v>29</v>
      </c>
      <c r="H36" s="10" t="s">
        <v>163</v>
      </c>
      <c r="I36" s="10" t="s">
        <v>168</v>
      </c>
      <c r="J36" s="10"/>
      <c r="K36" s="12"/>
      <c r="L36" s="13" t="s">
        <v>169</v>
      </c>
    </row>
    <row r="37" customFormat="false" ht="48" hidden="false" customHeight="true" outlineLevel="0" collapsed="false">
      <c r="B37" s="9" t="n">
        <v>29</v>
      </c>
      <c r="C37" s="10" t="s">
        <v>170</v>
      </c>
      <c r="D37" s="10" t="s">
        <v>171</v>
      </c>
      <c r="E37" s="10" t="s">
        <v>172</v>
      </c>
      <c r="F37" s="11" t="s">
        <v>28</v>
      </c>
      <c r="G37" s="10" t="s">
        <v>149</v>
      </c>
      <c r="H37" s="10" t="s">
        <v>173</v>
      </c>
      <c r="I37" s="10" t="s">
        <v>174</v>
      </c>
      <c r="J37" s="10"/>
      <c r="K37" s="12"/>
      <c r="L37" s="13" t="s">
        <v>175</v>
      </c>
    </row>
    <row r="38" customFormat="false" ht="33.75" hidden="false" customHeight="true" outlineLevel="0" collapsed="false">
      <c r="B38" s="9" t="n">
        <v>30</v>
      </c>
      <c r="C38" s="10" t="s">
        <v>176</v>
      </c>
      <c r="D38" s="10" t="s">
        <v>177</v>
      </c>
      <c r="E38" s="10" t="s">
        <v>178</v>
      </c>
      <c r="F38" s="11" t="s">
        <v>28</v>
      </c>
      <c r="G38" s="10" t="s">
        <v>156</v>
      </c>
      <c r="H38" s="10" t="s">
        <v>179</v>
      </c>
      <c r="I38" s="10" t="s">
        <v>180</v>
      </c>
      <c r="J38" s="10" t="s">
        <v>181</v>
      </c>
      <c r="K38" s="12"/>
      <c r="L38" s="13" t="s">
        <v>130</v>
      </c>
    </row>
    <row r="39" customFormat="false" ht="33.75" hidden="false" customHeight="true" outlineLevel="0" collapsed="false">
      <c r="B39" s="9" t="n">
        <v>31</v>
      </c>
      <c r="C39" s="10" t="s">
        <v>176</v>
      </c>
      <c r="D39" s="10" t="s">
        <v>182</v>
      </c>
      <c r="E39" s="10" t="s">
        <v>183</v>
      </c>
      <c r="F39" s="11" t="s">
        <v>28</v>
      </c>
      <c r="G39" s="10" t="s">
        <v>149</v>
      </c>
      <c r="H39" s="10" t="s">
        <v>184</v>
      </c>
      <c r="I39" s="10" t="s">
        <v>185</v>
      </c>
      <c r="J39" s="10"/>
      <c r="K39" s="12"/>
      <c r="L39" s="13" t="s">
        <v>130</v>
      </c>
    </row>
    <row r="40" customFormat="false" ht="33.75" hidden="false" customHeight="true" outlineLevel="0" collapsed="false">
      <c r="B40" s="9" t="n">
        <v>32</v>
      </c>
      <c r="C40" s="10" t="s">
        <v>176</v>
      </c>
      <c r="D40" s="10" t="s">
        <v>186</v>
      </c>
      <c r="E40" s="10" t="s">
        <v>187</v>
      </c>
      <c r="F40" s="11" t="s">
        <v>28</v>
      </c>
      <c r="G40" s="10" t="s">
        <v>188</v>
      </c>
      <c r="H40" s="10" t="s">
        <v>189</v>
      </c>
      <c r="I40" s="10" t="s">
        <v>190</v>
      </c>
      <c r="J40" s="10"/>
      <c r="K40" s="12"/>
      <c r="L40" s="13" t="s">
        <v>191</v>
      </c>
    </row>
    <row r="41" customFormat="false" ht="33.75" hidden="false" customHeight="true" outlineLevel="0" collapsed="false">
      <c r="B41" s="9" t="n">
        <v>33</v>
      </c>
      <c r="C41" s="10" t="s">
        <v>176</v>
      </c>
      <c r="D41" s="10" t="s">
        <v>192</v>
      </c>
      <c r="E41" s="10" t="s">
        <v>193</v>
      </c>
      <c r="F41" s="11" t="s">
        <v>28</v>
      </c>
      <c r="G41" s="10" t="s">
        <v>156</v>
      </c>
      <c r="H41" s="10" t="s">
        <v>157</v>
      </c>
      <c r="I41" s="10" t="s">
        <v>194</v>
      </c>
      <c r="J41" s="10"/>
      <c r="K41" s="12"/>
      <c r="L41" s="13" t="s">
        <v>195</v>
      </c>
    </row>
    <row r="42" customFormat="false" ht="33.75" hidden="false" customHeight="true" outlineLevel="0" collapsed="false">
      <c r="B42" s="9" t="n">
        <v>34</v>
      </c>
      <c r="C42" s="10" t="s">
        <v>176</v>
      </c>
      <c r="D42" s="10" t="s">
        <v>196</v>
      </c>
      <c r="E42" s="10" t="s">
        <v>197</v>
      </c>
      <c r="F42" s="11" t="s">
        <v>28</v>
      </c>
      <c r="G42" s="10" t="s">
        <v>156</v>
      </c>
      <c r="H42" s="10" t="s">
        <v>198</v>
      </c>
      <c r="I42" s="10" t="s">
        <v>199</v>
      </c>
      <c r="J42" s="10"/>
      <c r="K42" s="12"/>
      <c r="L42" s="13" t="s">
        <v>200</v>
      </c>
    </row>
    <row r="43" customFormat="false" ht="33.75" hidden="false" customHeight="true" outlineLevel="0" collapsed="false">
      <c r="B43" s="9" t="n">
        <v>35</v>
      </c>
      <c r="C43" s="10" t="s">
        <v>176</v>
      </c>
      <c r="D43" s="10" t="s">
        <v>201</v>
      </c>
      <c r="E43" s="10" t="s">
        <v>202</v>
      </c>
      <c r="F43" s="11" t="s">
        <v>28</v>
      </c>
      <c r="G43" s="10" t="s">
        <v>149</v>
      </c>
      <c r="H43" s="10" t="s">
        <v>184</v>
      </c>
      <c r="I43" s="10" t="s">
        <v>203</v>
      </c>
      <c r="J43" s="10"/>
      <c r="K43" s="12"/>
      <c r="L43" s="13" t="s">
        <v>204</v>
      </c>
    </row>
    <row r="44" customFormat="false" ht="33.75" hidden="false" customHeight="true" outlineLevel="0" collapsed="false">
      <c r="B44" s="9" t="n">
        <v>36</v>
      </c>
      <c r="C44" s="10" t="s">
        <v>205</v>
      </c>
      <c r="D44" s="10" t="s">
        <v>206</v>
      </c>
      <c r="E44" s="10" t="s">
        <v>207</v>
      </c>
      <c r="F44" s="11" t="s">
        <v>28</v>
      </c>
      <c r="G44" s="10" t="s">
        <v>208</v>
      </c>
      <c r="H44" s="10" t="s">
        <v>209</v>
      </c>
      <c r="I44" s="10" t="s">
        <v>210</v>
      </c>
      <c r="J44" s="10" t="s">
        <v>211</v>
      </c>
      <c r="K44" s="12"/>
      <c r="L44" s="13" t="s">
        <v>212</v>
      </c>
    </row>
    <row r="45" customFormat="false" ht="48" hidden="false" customHeight="true" outlineLevel="0" collapsed="false">
      <c r="B45" s="9" t="n">
        <v>37</v>
      </c>
      <c r="C45" s="10" t="s">
        <v>205</v>
      </c>
      <c r="D45" s="10" t="s">
        <v>213</v>
      </c>
      <c r="E45" s="10" t="s">
        <v>214</v>
      </c>
      <c r="F45" s="11" t="s">
        <v>28</v>
      </c>
      <c r="G45" s="10" t="s">
        <v>156</v>
      </c>
      <c r="H45" s="10" t="s">
        <v>215</v>
      </c>
      <c r="I45" s="10" t="s">
        <v>216</v>
      </c>
      <c r="J45" s="10"/>
      <c r="K45" s="12"/>
      <c r="L45" s="13" t="s">
        <v>217</v>
      </c>
    </row>
    <row r="46" customFormat="false" ht="33.75" hidden="false" customHeight="true" outlineLevel="0" collapsed="false">
      <c r="B46" s="9" t="n">
        <v>38</v>
      </c>
      <c r="C46" s="10" t="s">
        <v>205</v>
      </c>
      <c r="D46" s="10" t="s">
        <v>218</v>
      </c>
      <c r="E46" s="10" t="s">
        <v>219</v>
      </c>
      <c r="F46" s="11" t="s">
        <v>28</v>
      </c>
      <c r="G46" s="10" t="s">
        <v>220</v>
      </c>
      <c r="H46" s="10" t="s">
        <v>221</v>
      </c>
      <c r="I46" s="10" t="s">
        <v>222</v>
      </c>
      <c r="J46" s="10"/>
      <c r="K46" s="12"/>
      <c r="L46" s="13" t="s">
        <v>223</v>
      </c>
    </row>
    <row r="47" customFormat="false" ht="61.5" hidden="false" customHeight="true" outlineLevel="0" collapsed="false">
      <c r="B47" s="9" t="n">
        <v>39</v>
      </c>
      <c r="C47" s="10" t="s">
        <v>205</v>
      </c>
      <c r="D47" s="10" t="s">
        <v>224</v>
      </c>
      <c r="E47" s="10" t="s">
        <v>225</v>
      </c>
      <c r="F47" s="11" t="s">
        <v>28</v>
      </c>
      <c r="G47" s="10" t="s">
        <v>226</v>
      </c>
      <c r="H47" s="10" t="s">
        <v>227</v>
      </c>
      <c r="I47" s="10" t="s">
        <v>228</v>
      </c>
      <c r="J47" s="10" t="s">
        <v>211</v>
      </c>
      <c r="K47" s="12"/>
      <c r="L47" s="13" t="s">
        <v>72</v>
      </c>
    </row>
    <row r="48" customFormat="false" ht="48" hidden="false" customHeight="true" outlineLevel="0" collapsed="false">
      <c r="B48" s="9" t="n">
        <v>40</v>
      </c>
      <c r="C48" s="10" t="s">
        <v>229</v>
      </c>
      <c r="D48" s="10" t="s">
        <v>230</v>
      </c>
      <c r="E48" s="10" t="s">
        <v>231</v>
      </c>
      <c r="F48" s="11" t="s">
        <v>28</v>
      </c>
      <c r="G48" s="10" t="s">
        <v>156</v>
      </c>
      <c r="H48" s="10" t="s">
        <v>232</v>
      </c>
      <c r="I48" s="10" t="s">
        <v>233</v>
      </c>
      <c r="J48" s="10" t="s">
        <v>234</v>
      </c>
      <c r="K48" s="12"/>
      <c r="L48" s="13" t="s">
        <v>235</v>
      </c>
    </row>
    <row r="49" customFormat="false" ht="33.75" hidden="false" customHeight="true" outlineLevel="0" collapsed="false">
      <c r="B49" s="9" t="n">
        <v>41</v>
      </c>
      <c r="C49" s="10" t="s">
        <v>229</v>
      </c>
      <c r="D49" s="10" t="s">
        <v>236</v>
      </c>
      <c r="E49" s="10" t="s">
        <v>237</v>
      </c>
      <c r="F49" s="11" t="s">
        <v>28</v>
      </c>
      <c r="G49" s="10" t="s">
        <v>149</v>
      </c>
      <c r="H49" s="10" t="s">
        <v>150</v>
      </c>
      <c r="I49" s="10" t="s">
        <v>238</v>
      </c>
      <c r="J49" s="10"/>
      <c r="K49" s="12"/>
      <c r="L49" s="13" t="s">
        <v>239</v>
      </c>
    </row>
    <row r="50" customFormat="false" ht="33.75" hidden="false" customHeight="true" outlineLevel="0" collapsed="false">
      <c r="B50" s="9" t="n">
        <v>42</v>
      </c>
      <c r="C50" s="10" t="s">
        <v>229</v>
      </c>
      <c r="D50" s="10" t="s">
        <v>240</v>
      </c>
      <c r="E50" s="10" t="s">
        <v>241</v>
      </c>
      <c r="F50" s="11" t="s">
        <v>242</v>
      </c>
      <c r="G50" s="10" t="s">
        <v>220</v>
      </c>
      <c r="H50" s="10" t="s">
        <v>243</v>
      </c>
      <c r="I50" s="10" t="s">
        <v>244</v>
      </c>
      <c r="J50" s="10" t="s">
        <v>245</v>
      </c>
      <c r="K50" s="12"/>
      <c r="L50" s="13" t="s">
        <v>235</v>
      </c>
    </row>
    <row r="51" customFormat="false" ht="48" hidden="false" customHeight="true" outlineLevel="0" collapsed="false">
      <c r="B51" s="9" t="n">
        <v>43</v>
      </c>
      <c r="C51" s="10" t="s">
        <v>229</v>
      </c>
      <c r="D51" s="10" t="s">
        <v>246</v>
      </c>
      <c r="E51" s="10" t="s">
        <v>247</v>
      </c>
      <c r="F51" s="11" t="s">
        <v>242</v>
      </c>
      <c r="G51" s="10" t="s">
        <v>149</v>
      </c>
      <c r="H51" s="10" t="s">
        <v>248</v>
      </c>
      <c r="I51" s="10" t="s">
        <v>249</v>
      </c>
      <c r="J51" s="10" t="s">
        <v>250</v>
      </c>
      <c r="K51" s="12"/>
      <c r="L51" s="13" t="s">
        <v>251</v>
      </c>
    </row>
    <row r="52" customFormat="false" ht="75.75" hidden="false" customHeight="true" outlineLevel="0" collapsed="false">
      <c r="B52" s="9" t="n">
        <v>44</v>
      </c>
      <c r="C52" s="10" t="s">
        <v>229</v>
      </c>
      <c r="D52" s="10" t="s">
        <v>252</v>
      </c>
      <c r="E52" s="10" t="s">
        <v>253</v>
      </c>
      <c r="F52" s="11" t="s">
        <v>28</v>
      </c>
      <c r="G52" s="10" t="s">
        <v>156</v>
      </c>
      <c r="H52" s="10" t="s">
        <v>254</v>
      </c>
      <c r="I52" s="10" t="s">
        <v>255</v>
      </c>
      <c r="J52" s="10" t="s">
        <v>256</v>
      </c>
      <c r="K52" s="12"/>
      <c r="L52" s="13" t="s">
        <v>257</v>
      </c>
    </row>
    <row r="53" customFormat="false" ht="33.75" hidden="false" customHeight="true" outlineLevel="0" collapsed="false">
      <c r="B53" s="9" t="n">
        <v>45</v>
      </c>
      <c r="C53" s="10" t="s">
        <v>258</v>
      </c>
      <c r="D53" s="10" t="s">
        <v>259</v>
      </c>
      <c r="E53" s="10" t="s">
        <v>260</v>
      </c>
      <c r="F53" s="11" t="s">
        <v>28</v>
      </c>
      <c r="G53" s="10" t="s">
        <v>29</v>
      </c>
      <c r="H53" s="10" t="s">
        <v>261</v>
      </c>
      <c r="I53" s="10" t="s">
        <v>262</v>
      </c>
      <c r="J53" s="10"/>
      <c r="K53" s="12"/>
      <c r="L53" s="13" t="s">
        <v>263</v>
      </c>
    </row>
    <row r="54" customFormat="false" ht="48" hidden="false" customHeight="true" outlineLevel="0" collapsed="false">
      <c r="B54" s="9" t="n">
        <v>46</v>
      </c>
      <c r="C54" s="10" t="s">
        <v>258</v>
      </c>
      <c r="D54" s="10" t="s">
        <v>264</v>
      </c>
      <c r="E54" s="10" t="s">
        <v>265</v>
      </c>
      <c r="F54" s="11" t="s">
        <v>28</v>
      </c>
      <c r="G54" s="10" t="s">
        <v>29</v>
      </c>
      <c r="H54" s="10" t="s">
        <v>261</v>
      </c>
      <c r="I54" s="10" t="s">
        <v>266</v>
      </c>
      <c r="J54" s="10"/>
      <c r="K54" s="12"/>
      <c r="L54" s="13" t="s">
        <v>263</v>
      </c>
    </row>
    <row r="55" customFormat="false" ht="33.75" hidden="false" customHeight="true" outlineLevel="0" collapsed="false">
      <c r="B55" s="9" t="n">
        <v>47</v>
      </c>
      <c r="C55" s="10" t="s">
        <v>267</v>
      </c>
      <c r="D55" s="10" t="s">
        <v>268</v>
      </c>
      <c r="E55" s="10" t="s">
        <v>269</v>
      </c>
      <c r="F55" s="11" t="s">
        <v>28</v>
      </c>
      <c r="G55" s="10" t="s">
        <v>29</v>
      </c>
      <c r="H55" s="10" t="s">
        <v>270</v>
      </c>
      <c r="I55" s="10" t="s">
        <v>271</v>
      </c>
      <c r="J55" s="10"/>
      <c r="K55" s="12"/>
      <c r="L55" s="13" t="s">
        <v>272</v>
      </c>
    </row>
    <row r="56" customFormat="false" ht="33.75" hidden="false" customHeight="true" outlineLevel="0" collapsed="false">
      <c r="B56" s="9" t="n">
        <v>48</v>
      </c>
      <c r="C56" s="10" t="s">
        <v>267</v>
      </c>
      <c r="D56" s="10" t="s">
        <v>273</v>
      </c>
      <c r="E56" s="10" t="s">
        <v>274</v>
      </c>
      <c r="F56" s="11" t="s">
        <v>28</v>
      </c>
      <c r="G56" s="10" t="s">
        <v>63</v>
      </c>
      <c r="H56" s="10" t="s">
        <v>275</v>
      </c>
      <c r="I56" s="10" t="s">
        <v>276</v>
      </c>
      <c r="J56" s="10"/>
      <c r="K56" s="12"/>
      <c r="L56" s="13" t="s">
        <v>277</v>
      </c>
    </row>
    <row r="57" customFormat="false" ht="48" hidden="false" customHeight="true" outlineLevel="0" collapsed="false">
      <c r="B57" s="9" t="n">
        <v>49</v>
      </c>
      <c r="C57" s="10" t="s">
        <v>278</v>
      </c>
      <c r="D57" s="10" t="s">
        <v>279</v>
      </c>
      <c r="E57" s="10" t="s">
        <v>280</v>
      </c>
      <c r="F57" s="11" t="s">
        <v>28</v>
      </c>
      <c r="G57" s="10" t="s">
        <v>29</v>
      </c>
      <c r="H57" s="10" t="s">
        <v>281</v>
      </c>
      <c r="I57" s="10" t="s">
        <v>282</v>
      </c>
      <c r="J57" s="10"/>
      <c r="K57" s="12"/>
      <c r="L57" s="13" t="s">
        <v>283</v>
      </c>
    </row>
    <row r="58" customFormat="false" ht="48" hidden="false" customHeight="true" outlineLevel="0" collapsed="false">
      <c r="B58" s="9" t="n">
        <v>50</v>
      </c>
      <c r="C58" s="10" t="s">
        <v>278</v>
      </c>
      <c r="D58" s="10" t="s">
        <v>284</v>
      </c>
      <c r="E58" s="10" t="s">
        <v>285</v>
      </c>
      <c r="F58" s="11" t="s">
        <v>28</v>
      </c>
      <c r="G58" s="10" t="s">
        <v>70</v>
      </c>
      <c r="H58" s="10" t="s">
        <v>286</v>
      </c>
      <c r="I58" s="10" t="s">
        <v>287</v>
      </c>
      <c r="J58" s="10"/>
      <c r="K58" s="12"/>
      <c r="L58" s="13" t="s">
        <v>283</v>
      </c>
    </row>
    <row r="59" customFormat="false" ht="48" hidden="false" customHeight="true" outlineLevel="0" collapsed="false">
      <c r="B59" s="9" t="n">
        <v>51</v>
      </c>
      <c r="C59" s="10" t="s">
        <v>288</v>
      </c>
      <c r="D59" s="10" t="s">
        <v>289</v>
      </c>
      <c r="E59" s="10" t="s">
        <v>290</v>
      </c>
      <c r="F59" s="11" t="s">
        <v>28</v>
      </c>
      <c r="G59" s="10" t="s">
        <v>29</v>
      </c>
      <c r="H59" s="10" t="s">
        <v>291</v>
      </c>
      <c r="I59" s="10" t="s">
        <v>292</v>
      </c>
      <c r="J59" s="10"/>
      <c r="K59" s="12"/>
      <c r="L59" s="13" t="s">
        <v>293</v>
      </c>
    </row>
    <row r="60" customFormat="false" ht="48" hidden="false" customHeight="true" outlineLevel="0" collapsed="false">
      <c r="B60" s="9" t="n">
        <v>52</v>
      </c>
      <c r="C60" s="10" t="s">
        <v>294</v>
      </c>
      <c r="D60" s="10" t="s">
        <v>295</v>
      </c>
      <c r="E60" s="10" t="s">
        <v>296</v>
      </c>
      <c r="F60" s="11" t="s">
        <v>242</v>
      </c>
      <c r="G60" s="10" t="s">
        <v>226</v>
      </c>
      <c r="H60" s="10" t="s">
        <v>297</v>
      </c>
      <c r="I60" s="10" t="s">
        <v>298</v>
      </c>
      <c r="J60" s="10" t="s">
        <v>299</v>
      </c>
      <c r="K60" s="12"/>
      <c r="L60" s="13" t="s">
        <v>300</v>
      </c>
    </row>
    <row r="61" customFormat="false" ht="33.75" hidden="false" customHeight="true" outlineLevel="0" collapsed="false">
      <c r="B61" s="9" t="n">
        <v>53</v>
      </c>
      <c r="C61" s="10" t="s">
        <v>294</v>
      </c>
      <c r="D61" s="10" t="s">
        <v>301</v>
      </c>
      <c r="E61" s="10" t="s">
        <v>302</v>
      </c>
      <c r="F61" s="11" t="s">
        <v>28</v>
      </c>
      <c r="G61" s="10" t="s">
        <v>149</v>
      </c>
      <c r="H61" s="10" t="s">
        <v>150</v>
      </c>
      <c r="I61" s="10" t="s">
        <v>303</v>
      </c>
      <c r="J61" s="10"/>
      <c r="K61" s="12"/>
      <c r="L61" s="13" t="s">
        <v>304</v>
      </c>
    </row>
    <row r="62" customFormat="false" ht="48" hidden="false" customHeight="true" outlineLevel="0" collapsed="false">
      <c r="B62" s="9" t="n">
        <v>54</v>
      </c>
      <c r="C62" s="10" t="s">
        <v>305</v>
      </c>
      <c r="D62" s="10" t="s">
        <v>306</v>
      </c>
      <c r="E62" s="10" t="s">
        <v>307</v>
      </c>
      <c r="F62" s="11" t="s">
        <v>28</v>
      </c>
      <c r="G62" s="10" t="s">
        <v>156</v>
      </c>
      <c r="H62" s="10" t="s">
        <v>308</v>
      </c>
      <c r="I62" s="10" t="s">
        <v>309</v>
      </c>
      <c r="J62" s="10" t="s">
        <v>310</v>
      </c>
      <c r="K62" s="12"/>
      <c r="L62" s="13" t="s">
        <v>311</v>
      </c>
    </row>
    <row r="63" customFormat="false" ht="48" hidden="false" customHeight="true" outlineLevel="0" collapsed="false">
      <c r="B63" s="9" t="n">
        <v>55</v>
      </c>
      <c r="C63" s="10" t="s">
        <v>305</v>
      </c>
      <c r="D63" s="10" t="s">
        <v>312</v>
      </c>
      <c r="E63" s="10" t="s">
        <v>313</v>
      </c>
      <c r="F63" s="11" t="s">
        <v>314</v>
      </c>
      <c r="G63" s="10" t="s">
        <v>149</v>
      </c>
      <c r="H63" s="10" t="s">
        <v>72</v>
      </c>
      <c r="I63" s="10" t="s">
        <v>72</v>
      </c>
      <c r="J63" s="10" t="s">
        <v>315</v>
      </c>
      <c r="K63" s="12"/>
      <c r="L63" s="13" t="s">
        <v>311</v>
      </c>
    </row>
    <row r="64" customFormat="false" ht="33.75" hidden="false" customHeight="true" outlineLevel="0" collapsed="false">
      <c r="B64" s="9" t="n">
        <v>56</v>
      </c>
      <c r="C64" s="10" t="s">
        <v>316</v>
      </c>
      <c r="D64" s="10" t="s">
        <v>317</v>
      </c>
      <c r="E64" s="10" t="s">
        <v>318</v>
      </c>
      <c r="F64" s="11" t="s">
        <v>28</v>
      </c>
      <c r="G64" s="10" t="s">
        <v>156</v>
      </c>
      <c r="H64" s="10" t="s">
        <v>319</v>
      </c>
      <c r="I64" s="10" t="s">
        <v>320</v>
      </c>
      <c r="J64" s="10"/>
      <c r="K64" s="12"/>
      <c r="L64" s="13" t="s">
        <v>321</v>
      </c>
    </row>
    <row r="65" customFormat="false" ht="33.75" hidden="false" customHeight="true" outlineLevel="0" collapsed="false">
      <c r="B65" s="9" t="n">
        <v>57</v>
      </c>
      <c r="C65" s="10" t="s">
        <v>316</v>
      </c>
      <c r="D65" s="10" t="s">
        <v>322</v>
      </c>
      <c r="E65" s="10" t="s">
        <v>323</v>
      </c>
      <c r="F65" s="11" t="s">
        <v>314</v>
      </c>
      <c r="G65" s="10" t="s">
        <v>156</v>
      </c>
      <c r="H65" s="10" t="s">
        <v>157</v>
      </c>
      <c r="I65" s="10" t="s">
        <v>72</v>
      </c>
      <c r="J65" s="10" t="s">
        <v>324</v>
      </c>
      <c r="K65" s="12"/>
      <c r="L65" s="13" t="s">
        <v>321</v>
      </c>
    </row>
    <row r="66" customFormat="false" ht="33.75" hidden="false" customHeight="true" outlineLevel="0" collapsed="false">
      <c r="B66" s="9" t="n">
        <v>58</v>
      </c>
      <c r="C66" s="10" t="s">
        <v>325</v>
      </c>
      <c r="D66" s="10" t="s">
        <v>326</v>
      </c>
      <c r="E66" s="10" t="s">
        <v>327</v>
      </c>
      <c r="F66" s="11" t="s">
        <v>28</v>
      </c>
      <c r="G66" s="10" t="s">
        <v>29</v>
      </c>
      <c r="H66" s="10" t="s">
        <v>328</v>
      </c>
      <c r="I66" s="10" t="s">
        <v>329</v>
      </c>
      <c r="J66" s="10"/>
      <c r="K66" s="12"/>
      <c r="L66" s="13" t="s">
        <v>330</v>
      </c>
    </row>
    <row r="67" customFormat="false" ht="33.75" hidden="false" customHeight="true" outlineLevel="0" collapsed="false">
      <c r="B67" s="9" t="n">
        <v>59</v>
      </c>
      <c r="C67" s="10" t="s">
        <v>331</v>
      </c>
      <c r="D67" s="10" t="s">
        <v>332</v>
      </c>
      <c r="E67" s="10" t="s">
        <v>333</v>
      </c>
      <c r="F67" s="11" t="s">
        <v>28</v>
      </c>
      <c r="G67" s="10" t="s">
        <v>29</v>
      </c>
      <c r="H67" s="10" t="s">
        <v>334</v>
      </c>
      <c r="I67" s="10" t="s">
        <v>335</v>
      </c>
      <c r="J67" s="10"/>
      <c r="K67" s="12"/>
      <c r="L67" s="13" t="s">
        <v>336</v>
      </c>
    </row>
    <row r="68" customFormat="false" ht="33.75" hidden="false" customHeight="true" outlineLevel="0" collapsed="false">
      <c r="B68" s="9" t="n">
        <v>60</v>
      </c>
      <c r="C68" s="10" t="s">
        <v>331</v>
      </c>
      <c r="D68" s="10" t="s">
        <v>337</v>
      </c>
      <c r="E68" s="10" t="s">
        <v>338</v>
      </c>
      <c r="F68" s="11" t="s">
        <v>28</v>
      </c>
      <c r="G68" s="10" t="s">
        <v>339</v>
      </c>
      <c r="H68" s="10" t="s">
        <v>340</v>
      </c>
      <c r="I68" s="10" t="s">
        <v>341</v>
      </c>
      <c r="J68" s="10"/>
      <c r="K68" s="12"/>
      <c r="L68" s="13" t="s">
        <v>336</v>
      </c>
    </row>
    <row r="69" customFormat="false" ht="48" hidden="false" customHeight="true" outlineLevel="0" collapsed="false">
      <c r="B69" s="9" t="n">
        <v>61</v>
      </c>
      <c r="C69" s="10" t="s">
        <v>331</v>
      </c>
      <c r="D69" s="10" t="s">
        <v>342</v>
      </c>
      <c r="E69" s="10" t="s">
        <v>343</v>
      </c>
      <c r="F69" s="11" t="s">
        <v>242</v>
      </c>
      <c r="G69" s="10" t="s">
        <v>29</v>
      </c>
      <c r="H69" s="10" t="s">
        <v>344</v>
      </c>
      <c r="I69" s="10" t="s">
        <v>345</v>
      </c>
      <c r="J69" s="10" t="s">
        <v>346</v>
      </c>
      <c r="K69" s="12"/>
      <c r="L69" s="13" t="s">
        <v>347</v>
      </c>
    </row>
    <row r="70" customFormat="false" ht="33.75" hidden="false" customHeight="true" outlineLevel="0" collapsed="false">
      <c r="B70" s="9" t="n">
        <v>62</v>
      </c>
      <c r="C70" s="10" t="s">
        <v>331</v>
      </c>
      <c r="D70" s="10" t="s">
        <v>348</v>
      </c>
      <c r="E70" s="10" t="s">
        <v>349</v>
      </c>
      <c r="F70" s="11" t="s">
        <v>28</v>
      </c>
      <c r="G70" s="10" t="s">
        <v>29</v>
      </c>
      <c r="H70" s="10" t="s">
        <v>350</v>
      </c>
      <c r="I70" s="10" t="s">
        <v>351</v>
      </c>
      <c r="J70" s="10"/>
      <c r="K70" s="12"/>
      <c r="L70" s="13" t="s">
        <v>336</v>
      </c>
    </row>
    <row r="71" customFormat="false" ht="33.75" hidden="false" customHeight="true" outlineLevel="0" collapsed="false">
      <c r="B71" s="9" t="n">
        <v>63</v>
      </c>
      <c r="C71" s="10" t="s">
        <v>352</v>
      </c>
      <c r="D71" s="10" t="s">
        <v>353</v>
      </c>
      <c r="E71" s="10" t="s">
        <v>354</v>
      </c>
      <c r="F71" s="11" t="s">
        <v>28</v>
      </c>
      <c r="G71" s="10" t="s">
        <v>29</v>
      </c>
      <c r="H71" s="10" t="s">
        <v>355</v>
      </c>
      <c r="I71" s="10" t="s">
        <v>356</v>
      </c>
      <c r="J71" s="10"/>
      <c r="K71" s="12"/>
      <c r="L71" s="13" t="s">
        <v>357</v>
      </c>
    </row>
    <row r="72" customFormat="false" ht="48" hidden="false" customHeight="true" outlineLevel="0" collapsed="false">
      <c r="B72" s="9" t="n">
        <v>64</v>
      </c>
      <c r="C72" s="10" t="s">
        <v>352</v>
      </c>
      <c r="D72" s="10" t="s">
        <v>358</v>
      </c>
      <c r="E72" s="10" t="s">
        <v>359</v>
      </c>
      <c r="F72" s="11" t="s">
        <v>28</v>
      </c>
      <c r="G72" s="10" t="s">
        <v>29</v>
      </c>
      <c r="H72" s="10" t="s">
        <v>360</v>
      </c>
      <c r="I72" s="10" t="s">
        <v>361</v>
      </c>
      <c r="J72" s="10"/>
      <c r="K72" s="12"/>
      <c r="L72" s="13" t="s">
        <v>362</v>
      </c>
    </row>
    <row r="73" customFormat="false" ht="33.75" hidden="false" customHeight="true" outlineLevel="0" collapsed="false">
      <c r="B73" s="9" t="n">
        <v>65</v>
      </c>
      <c r="C73" s="10" t="s">
        <v>352</v>
      </c>
      <c r="D73" s="10" t="s">
        <v>363</v>
      </c>
      <c r="E73" s="10" t="s">
        <v>364</v>
      </c>
      <c r="F73" s="11" t="s">
        <v>28</v>
      </c>
      <c r="G73" s="10" t="s">
        <v>63</v>
      </c>
      <c r="H73" s="10" t="s">
        <v>365</v>
      </c>
      <c r="I73" s="10" t="s">
        <v>366</v>
      </c>
      <c r="J73" s="10" t="s">
        <v>367</v>
      </c>
      <c r="K73" s="12"/>
      <c r="L73" s="13" t="s">
        <v>368</v>
      </c>
    </row>
    <row r="74" customFormat="false" ht="33.75" hidden="false" customHeight="true" outlineLevel="0" collapsed="false">
      <c r="B74" s="9" t="n">
        <v>66</v>
      </c>
      <c r="C74" s="10" t="s">
        <v>352</v>
      </c>
      <c r="D74" s="10" t="s">
        <v>369</v>
      </c>
      <c r="E74" s="10" t="s">
        <v>370</v>
      </c>
      <c r="F74" s="11" t="s">
        <v>28</v>
      </c>
      <c r="G74" s="10" t="s">
        <v>29</v>
      </c>
      <c r="H74" s="10" t="s">
        <v>371</v>
      </c>
      <c r="I74" s="10" t="s">
        <v>372</v>
      </c>
      <c r="J74" s="10"/>
      <c r="K74" s="12"/>
      <c r="L74" s="13" t="s">
        <v>373</v>
      </c>
    </row>
    <row r="75" customFormat="false" ht="33.75" hidden="false" customHeight="true" outlineLevel="0" collapsed="false">
      <c r="B75" s="9" t="n">
        <v>67</v>
      </c>
      <c r="C75" s="10" t="s">
        <v>352</v>
      </c>
      <c r="D75" s="10" t="s">
        <v>374</v>
      </c>
      <c r="E75" s="10" t="s">
        <v>375</v>
      </c>
      <c r="F75" s="11" t="s">
        <v>28</v>
      </c>
      <c r="G75" s="10" t="s">
        <v>29</v>
      </c>
      <c r="H75" s="10" t="s">
        <v>376</v>
      </c>
      <c r="I75" s="10" t="s">
        <v>377</v>
      </c>
      <c r="J75" s="10"/>
      <c r="K75" s="12"/>
      <c r="L75" s="13" t="s">
        <v>373</v>
      </c>
    </row>
    <row r="76" customFormat="false" ht="48" hidden="false" customHeight="true" outlineLevel="0" collapsed="false">
      <c r="B76" s="9" t="n">
        <v>68</v>
      </c>
      <c r="C76" s="10" t="s">
        <v>378</v>
      </c>
      <c r="D76" s="10" t="s">
        <v>379</v>
      </c>
      <c r="E76" s="10" t="s">
        <v>380</v>
      </c>
      <c r="F76" s="11" t="s">
        <v>28</v>
      </c>
      <c r="G76" s="10" t="s">
        <v>29</v>
      </c>
      <c r="H76" s="10" t="s">
        <v>381</v>
      </c>
      <c r="I76" s="10" t="s">
        <v>382</v>
      </c>
      <c r="J76" s="10"/>
      <c r="K76" s="12"/>
      <c r="L76" s="13" t="s">
        <v>383</v>
      </c>
    </row>
    <row r="77" customFormat="false" ht="33.75" hidden="false" customHeight="true" outlineLevel="0" collapsed="false">
      <c r="B77" s="9" t="n">
        <v>69</v>
      </c>
      <c r="C77" s="10" t="s">
        <v>378</v>
      </c>
      <c r="D77" s="10" t="s">
        <v>384</v>
      </c>
      <c r="E77" s="10" t="s">
        <v>385</v>
      </c>
      <c r="F77" s="11" t="s">
        <v>28</v>
      </c>
      <c r="G77" s="10" t="s">
        <v>63</v>
      </c>
      <c r="H77" s="10" t="s">
        <v>386</v>
      </c>
      <c r="I77" s="10" t="s">
        <v>387</v>
      </c>
      <c r="J77" s="10"/>
      <c r="K77" s="12"/>
      <c r="L77" s="13" t="s">
        <v>42</v>
      </c>
    </row>
    <row r="78" customFormat="false" ht="33.75" hidden="false" customHeight="true" outlineLevel="0" collapsed="false">
      <c r="B78" s="9" t="n">
        <v>70</v>
      </c>
      <c r="C78" s="10" t="s">
        <v>388</v>
      </c>
      <c r="D78" s="10" t="s">
        <v>389</v>
      </c>
      <c r="E78" s="10" t="s">
        <v>390</v>
      </c>
      <c r="F78" s="11" t="s">
        <v>28</v>
      </c>
      <c r="G78" s="10" t="s">
        <v>29</v>
      </c>
      <c r="H78" s="10" t="s">
        <v>391</v>
      </c>
      <c r="I78" s="10" t="s">
        <v>392</v>
      </c>
      <c r="J78" s="10"/>
      <c r="K78" s="12"/>
      <c r="L78" s="13" t="s">
        <v>393</v>
      </c>
    </row>
    <row r="79" customFormat="false" ht="33.75" hidden="false" customHeight="true" outlineLevel="0" collapsed="false">
      <c r="B79" s="9" t="n">
        <v>71</v>
      </c>
      <c r="C79" s="10" t="s">
        <v>388</v>
      </c>
      <c r="D79" s="10" t="s">
        <v>394</v>
      </c>
      <c r="E79" s="10" t="s">
        <v>395</v>
      </c>
      <c r="F79" s="11" t="s">
        <v>28</v>
      </c>
      <c r="G79" s="10" t="s">
        <v>63</v>
      </c>
      <c r="H79" s="10" t="s">
        <v>396</v>
      </c>
      <c r="I79" s="10" t="s">
        <v>397</v>
      </c>
      <c r="J79" s="10"/>
      <c r="K79" s="12"/>
      <c r="L79" s="13" t="s">
        <v>393</v>
      </c>
    </row>
    <row r="80" customFormat="false" ht="33.75" hidden="false" customHeight="true" outlineLevel="0" collapsed="false">
      <c r="B80" s="9" t="n">
        <v>72</v>
      </c>
      <c r="C80" s="10" t="s">
        <v>388</v>
      </c>
      <c r="D80" s="10" t="s">
        <v>398</v>
      </c>
      <c r="E80" s="10" t="s">
        <v>399</v>
      </c>
      <c r="F80" s="11" t="s">
        <v>28</v>
      </c>
      <c r="G80" s="10" t="s">
        <v>29</v>
      </c>
      <c r="H80" s="10" t="s">
        <v>400</v>
      </c>
      <c r="I80" s="10" t="s">
        <v>401</v>
      </c>
      <c r="J80" s="10" t="s">
        <v>402</v>
      </c>
      <c r="K80" s="12"/>
      <c r="L80" s="13" t="s">
        <v>393</v>
      </c>
    </row>
    <row r="81" customFormat="false" ht="33.75" hidden="false" customHeight="true" outlineLevel="0" collapsed="false">
      <c r="B81" s="9" t="n">
        <v>73</v>
      </c>
      <c r="C81" s="10" t="s">
        <v>388</v>
      </c>
      <c r="D81" s="10" t="s">
        <v>403</v>
      </c>
      <c r="E81" s="10" t="s">
        <v>404</v>
      </c>
      <c r="F81" s="11" t="s">
        <v>28</v>
      </c>
      <c r="G81" s="10" t="s">
        <v>29</v>
      </c>
      <c r="H81" s="10" t="s">
        <v>405</v>
      </c>
      <c r="I81" s="10" t="s">
        <v>406</v>
      </c>
      <c r="J81" s="10"/>
      <c r="K81" s="12"/>
      <c r="L81" s="13" t="s">
        <v>407</v>
      </c>
    </row>
    <row r="82" customFormat="false" ht="33.75" hidden="false" customHeight="true" outlineLevel="0" collapsed="false">
      <c r="B82" s="9" t="n">
        <v>74</v>
      </c>
      <c r="C82" s="10" t="s">
        <v>388</v>
      </c>
      <c r="D82" s="10" t="s">
        <v>408</v>
      </c>
      <c r="E82" s="10" t="s">
        <v>409</v>
      </c>
      <c r="F82" s="11" t="s">
        <v>28</v>
      </c>
      <c r="G82" s="10" t="s">
        <v>29</v>
      </c>
      <c r="H82" s="10" t="s">
        <v>410</v>
      </c>
      <c r="I82" s="10" t="s">
        <v>411</v>
      </c>
      <c r="J82" s="10"/>
      <c r="K82" s="12"/>
      <c r="L82" s="13" t="s">
        <v>393</v>
      </c>
    </row>
    <row r="83" customFormat="false" ht="33.75" hidden="false" customHeight="true" outlineLevel="0" collapsed="false">
      <c r="B83" s="9" t="n">
        <v>75</v>
      </c>
      <c r="C83" s="10" t="s">
        <v>388</v>
      </c>
      <c r="D83" s="10" t="s">
        <v>412</v>
      </c>
      <c r="E83" s="10" t="s">
        <v>413</v>
      </c>
      <c r="F83" s="11" t="s">
        <v>28</v>
      </c>
      <c r="G83" s="10" t="s">
        <v>29</v>
      </c>
      <c r="H83" s="10" t="s">
        <v>410</v>
      </c>
      <c r="I83" s="10" t="s">
        <v>414</v>
      </c>
      <c r="J83" s="10"/>
      <c r="K83" s="12"/>
      <c r="L83" s="13" t="s">
        <v>393</v>
      </c>
    </row>
    <row r="84" customFormat="false" ht="25.5" hidden="false" customHeight="true" outlineLevel="0" collapsed="false">
      <c r="B84" s="9" t="n">
        <v>76</v>
      </c>
      <c r="C84" s="10" t="s">
        <v>415</v>
      </c>
      <c r="D84" s="10" t="s">
        <v>416</v>
      </c>
      <c r="E84" s="10" t="s">
        <v>417</v>
      </c>
      <c r="F84" s="11" t="s">
        <v>28</v>
      </c>
      <c r="G84" s="10" t="s">
        <v>29</v>
      </c>
      <c r="H84" s="10" t="s">
        <v>418</v>
      </c>
      <c r="I84" s="10" t="s">
        <v>419</v>
      </c>
      <c r="J84" s="10"/>
      <c r="K84" s="12"/>
      <c r="L84" s="13" t="s">
        <v>420</v>
      </c>
    </row>
    <row r="85" customFormat="false" ht="25.5" hidden="false" customHeight="true" outlineLevel="0" collapsed="false">
      <c r="B85" s="9" t="n">
        <v>77</v>
      </c>
      <c r="C85" s="10" t="s">
        <v>421</v>
      </c>
      <c r="D85" s="10" t="s">
        <v>422</v>
      </c>
      <c r="E85" s="10" t="s">
        <v>423</v>
      </c>
      <c r="F85" s="11" t="s">
        <v>28</v>
      </c>
      <c r="G85" s="10" t="s">
        <v>29</v>
      </c>
      <c r="H85" s="10" t="s">
        <v>424</v>
      </c>
      <c r="I85" s="10" t="s">
        <v>425</v>
      </c>
      <c r="J85" s="10"/>
      <c r="K85" s="12"/>
      <c r="L85" s="13" t="s">
        <v>426</v>
      </c>
    </row>
    <row r="86" customFormat="false" ht="33.75" hidden="false" customHeight="true" outlineLevel="0" collapsed="false">
      <c r="B86" s="9" t="n">
        <v>78</v>
      </c>
      <c r="C86" s="10" t="s">
        <v>421</v>
      </c>
      <c r="D86" s="10" t="s">
        <v>427</v>
      </c>
      <c r="E86" s="10" t="s">
        <v>428</v>
      </c>
      <c r="F86" s="11" t="s">
        <v>28</v>
      </c>
      <c r="G86" s="10" t="s">
        <v>63</v>
      </c>
      <c r="H86" s="10" t="s">
        <v>429</v>
      </c>
      <c r="I86" s="10" t="s">
        <v>430</v>
      </c>
      <c r="J86" s="10"/>
      <c r="K86" s="12"/>
      <c r="L86" s="13" t="s">
        <v>426</v>
      </c>
    </row>
    <row r="87" customFormat="false" ht="33.75" hidden="false" customHeight="true" outlineLevel="0" collapsed="false">
      <c r="B87" s="9" t="n">
        <v>79</v>
      </c>
      <c r="C87" s="10" t="s">
        <v>421</v>
      </c>
      <c r="D87" s="10" t="s">
        <v>431</v>
      </c>
      <c r="E87" s="10" t="s">
        <v>432</v>
      </c>
      <c r="F87" s="11" t="s">
        <v>28</v>
      </c>
      <c r="G87" s="10" t="s">
        <v>63</v>
      </c>
      <c r="H87" s="10" t="s">
        <v>433</v>
      </c>
      <c r="I87" s="10" t="s">
        <v>434</v>
      </c>
      <c r="J87" s="10" t="s">
        <v>435</v>
      </c>
      <c r="K87" s="12"/>
      <c r="L87" s="13" t="s">
        <v>426</v>
      </c>
    </row>
    <row r="88" customFormat="false" ht="33.75" hidden="false" customHeight="true" outlineLevel="0" collapsed="false">
      <c r="B88" s="9" t="n">
        <v>80</v>
      </c>
      <c r="C88" s="10" t="s">
        <v>421</v>
      </c>
      <c r="D88" s="10" t="s">
        <v>436</v>
      </c>
      <c r="E88" s="10" t="s">
        <v>437</v>
      </c>
      <c r="F88" s="11" t="s">
        <v>28</v>
      </c>
      <c r="G88" s="10" t="s">
        <v>29</v>
      </c>
      <c r="H88" s="10" t="s">
        <v>438</v>
      </c>
      <c r="I88" s="10" t="s">
        <v>439</v>
      </c>
      <c r="J88" s="10"/>
      <c r="K88" s="12"/>
      <c r="L88" s="13" t="s">
        <v>426</v>
      </c>
    </row>
    <row r="89" customFormat="false" ht="33.75" hidden="false" customHeight="true" outlineLevel="0" collapsed="false">
      <c r="B89" s="9" t="n">
        <v>81</v>
      </c>
      <c r="C89" s="10" t="s">
        <v>440</v>
      </c>
      <c r="D89" s="10" t="s">
        <v>441</v>
      </c>
      <c r="E89" s="10" t="s">
        <v>442</v>
      </c>
      <c r="F89" s="11" t="s">
        <v>28</v>
      </c>
      <c r="G89" s="10" t="s">
        <v>156</v>
      </c>
      <c r="H89" s="10" t="s">
        <v>443</v>
      </c>
      <c r="I89" s="10" t="s">
        <v>444</v>
      </c>
      <c r="J89" s="10" t="s">
        <v>445</v>
      </c>
      <c r="K89" s="12"/>
      <c r="L89" s="13" t="s">
        <v>446</v>
      </c>
    </row>
    <row r="90" customFormat="false" ht="33.75" hidden="false" customHeight="true" outlineLevel="0" collapsed="false">
      <c r="B90" s="9" t="n">
        <v>82</v>
      </c>
      <c r="C90" s="10" t="s">
        <v>440</v>
      </c>
      <c r="D90" s="10" t="s">
        <v>447</v>
      </c>
      <c r="E90" s="10" t="s">
        <v>448</v>
      </c>
      <c r="F90" s="11" t="s">
        <v>28</v>
      </c>
      <c r="G90" s="10" t="s">
        <v>156</v>
      </c>
      <c r="H90" s="10" t="s">
        <v>449</v>
      </c>
      <c r="I90" s="10" t="s">
        <v>450</v>
      </c>
      <c r="J90" s="10"/>
      <c r="K90" s="12"/>
      <c r="L90" s="13" t="s">
        <v>451</v>
      </c>
    </row>
    <row r="91" customFormat="false" ht="33.75" hidden="false" customHeight="true" outlineLevel="0" collapsed="false">
      <c r="B91" s="9" t="n">
        <v>83</v>
      </c>
      <c r="C91" s="10" t="s">
        <v>440</v>
      </c>
      <c r="D91" s="10" t="s">
        <v>452</v>
      </c>
      <c r="E91" s="10" t="s">
        <v>453</v>
      </c>
      <c r="F91" s="11" t="s">
        <v>28</v>
      </c>
      <c r="G91" s="10" t="s">
        <v>156</v>
      </c>
      <c r="H91" s="10" t="s">
        <v>454</v>
      </c>
      <c r="I91" s="10" t="s">
        <v>455</v>
      </c>
      <c r="J91" s="10" t="s">
        <v>445</v>
      </c>
      <c r="K91" s="12"/>
      <c r="L91" s="13" t="s">
        <v>456</v>
      </c>
    </row>
    <row r="92" customFormat="false" ht="48" hidden="false" customHeight="true" outlineLevel="0" collapsed="false">
      <c r="B92" s="9" t="n">
        <v>84</v>
      </c>
      <c r="C92" s="10" t="s">
        <v>440</v>
      </c>
      <c r="D92" s="10" t="s">
        <v>457</v>
      </c>
      <c r="E92" s="10" t="s">
        <v>458</v>
      </c>
      <c r="F92" s="11" t="s">
        <v>28</v>
      </c>
      <c r="G92" s="10" t="s">
        <v>156</v>
      </c>
      <c r="H92" s="10" t="s">
        <v>459</v>
      </c>
      <c r="I92" s="10" t="s">
        <v>460</v>
      </c>
      <c r="J92" s="10"/>
      <c r="K92" s="12"/>
      <c r="L92" s="13" t="s">
        <v>461</v>
      </c>
    </row>
    <row r="93" customFormat="false" ht="33.75" hidden="false" customHeight="true" outlineLevel="0" collapsed="false">
      <c r="B93" s="9" t="n">
        <v>85</v>
      </c>
      <c r="C93" s="10" t="s">
        <v>462</v>
      </c>
      <c r="D93" s="10" t="s">
        <v>463</v>
      </c>
      <c r="E93" s="10" t="s">
        <v>464</v>
      </c>
      <c r="F93" s="11" t="s">
        <v>28</v>
      </c>
      <c r="G93" s="10" t="s">
        <v>465</v>
      </c>
      <c r="H93" s="10" t="s">
        <v>466</v>
      </c>
      <c r="I93" s="10" t="s">
        <v>467</v>
      </c>
      <c r="J93" s="10" t="s">
        <v>468</v>
      </c>
      <c r="K93" s="12"/>
      <c r="L93" s="13" t="s">
        <v>469</v>
      </c>
    </row>
    <row r="94" customFormat="false" ht="33.75" hidden="false" customHeight="true" outlineLevel="0" collapsed="false">
      <c r="B94" s="9" t="n">
        <v>86</v>
      </c>
      <c r="C94" s="10" t="s">
        <v>470</v>
      </c>
      <c r="D94" s="10" t="s">
        <v>471</v>
      </c>
      <c r="E94" s="10" t="s">
        <v>472</v>
      </c>
      <c r="F94" s="11" t="s">
        <v>28</v>
      </c>
      <c r="G94" s="10" t="s">
        <v>465</v>
      </c>
      <c r="H94" s="10" t="s">
        <v>473</v>
      </c>
      <c r="I94" s="10" t="s">
        <v>474</v>
      </c>
      <c r="J94" s="10"/>
      <c r="K94" s="12"/>
      <c r="L94" s="13" t="s">
        <v>475</v>
      </c>
    </row>
    <row r="95" customFormat="false" ht="33.75" hidden="false" customHeight="true" outlineLevel="0" collapsed="false">
      <c r="B95" s="9" t="n">
        <v>87</v>
      </c>
      <c r="C95" s="10" t="s">
        <v>470</v>
      </c>
      <c r="D95" s="10" t="s">
        <v>476</v>
      </c>
      <c r="E95" s="10" t="s">
        <v>72</v>
      </c>
      <c r="F95" s="11" t="s">
        <v>69</v>
      </c>
      <c r="G95" s="10" t="s">
        <v>477</v>
      </c>
      <c r="H95" s="10" t="s">
        <v>72</v>
      </c>
      <c r="I95" s="10" t="s">
        <v>72</v>
      </c>
      <c r="J95" s="10" t="s">
        <v>478</v>
      </c>
      <c r="K95" s="12"/>
      <c r="L95" s="13" t="s">
        <v>72</v>
      </c>
    </row>
    <row r="96" customFormat="false" ht="48" hidden="false" customHeight="true" outlineLevel="0" collapsed="false">
      <c r="B96" s="9" t="n">
        <v>88</v>
      </c>
      <c r="C96" s="10" t="s">
        <v>479</v>
      </c>
      <c r="D96" s="10" t="s">
        <v>480</v>
      </c>
      <c r="E96" s="10" t="s">
        <v>481</v>
      </c>
      <c r="F96" s="11" t="s">
        <v>242</v>
      </c>
      <c r="G96" s="10" t="s">
        <v>465</v>
      </c>
      <c r="H96" s="10" t="s">
        <v>482</v>
      </c>
      <c r="I96" s="10" t="s">
        <v>483</v>
      </c>
      <c r="J96" s="10" t="s">
        <v>484</v>
      </c>
      <c r="K96" s="12"/>
      <c r="L96" s="13" t="s">
        <v>485</v>
      </c>
    </row>
    <row r="97" customFormat="false" ht="33.75" hidden="false" customHeight="true" outlineLevel="0" collapsed="false">
      <c r="B97" s="9" t="n">
        <v>89</v>
      </c>
      <c r="C97" s="10" t="s">
        <v>486</v>
      </c>
      <c r="D97" s="10" t="s">
        <v>487</v>
      </c>
      <c r="E97" s="10" t="s">
        <v>488</v>
      </c>
      <c r="F97" s="11" t="s">
        <v>28</v>
      </c>
      <c r="G97" s="10" t="s">
        <v>465</v>
      </c>
      <c r="H97" s="10" t="s">
        <v>489</v>
      </c>
      <c r="I97" s="10" t="s">
        <v>490</v>
      </c>
      <c r="J97" s="10"/>
      <c r="K97" s="12"/>
      <c r="L97" s="13" t="s">
        <v>491</v>
      </c>
    </row>
    <row r="98" customFormat="false" ht="33.75" hidden="false" customHeight="true" outlineLevel="0" collapsed="false">
      <c r="B98" s="9" t="n">
        <v>90</v>
      </c>
      <c r="C98" s="10" t="s">
        <v>492</v>
      </c>
      <c r="D98" s="10" t="s">
        <v>493</v>
      </c>
      <c r="E98" s="10" t="s">
        <v>494</v>
      </c>
      <c r="F98" s="11" t="s">
        <v>28</v>
      </c>
      <c r="G98" s="10" t="s">
        <v>465</v>
      </c>
      <c r="H98" s="10" t="s">
        <v>495</v>
      </c>
      <c r="I98" s="10" t="s">
        <v>496</v>
      </c>
      <c r="J98" s="10"/>
      <c r="K98" s="12"/>
      <c r="L98" s="13" t="s">
        <v>497</v>
      </c>
    </row>
    <row r="99" customFormat="false" ht="48" hidden="false" customHeight="true" outlineLevel="0" collapsed="false">
      <c r="B99" s="9" t="n">
        <v>91</v>
      </c>
      <c r="C99" s="10" t="s">
        <v>498</v>
      </c>
      <c r="D99" s="10" t="s">
        <v>499</v>
      </c>
      <c r="E99" s="10" t="s">
        <v>500</v>
      </c>
      <c r="F99" s="11" t="s">
        <v>242</v>
      </c>
      <c r="G99" s="10" t="s">
        <v>465</v>
      </c>
      <c r="H99" s="10" t="s">
        <v>501</v>
      </c>
      <c r="I99" s="10" t="s">
        <v>502</v>
      </c>
      <c r="J99" s="10" t="s">
        <v>503</v>
      </c>
      <c r="K99" s="12"/>
      <c r="L99" s="13" t="s">
        <v>504</v>
      </c>
    </row>
    <row r="100" customFormat="false" ht="33.75" hidden="false" customHeight="true" outlineLevel="0" collapsed="false">
      <c r="B100" s="9" t="n">
        <v>92</v>
      </c>
      <c r="C100" s="10" t="s">
        <v>505</v>
      </c>
      <c r="D100" s="10" t="s">
        <v>506</v>
      </c>
      <c r="E100" s="10" t="s">
        <v>507</v>
      </c>
      <c r="F100" s="11" t="s">
        <v>28</v>
      </c>
      <c r="G100" s="10" t="s">
        <v>508</v>
      </c>
      <c r="H100" s="10" t="s">
        <v>509</v>
      </c>
      <c r="I100" s="10" t="s">
        <v>510</v>
      </c>
      <c r="J100" s="10"/>
      <c r="K100" s="12"/>
      <c r="L100" s="13" t="s">
        <v>511</v>
      </c>
    </row>
    <row r="101" customFormat="false" ht="33.75" hidden="false" customHeight="true" outlineLevel="0" collapsed="false">
      <c r="B101" s="9" t="n">
        <v>93</v>
      </c>
      <c r="C101" s="10" t="s">
        <v>512</v>
      </c>
      <c r="D101" s="10" t="s">
        <v>513</v>
      </c>
      <c r="E101" s="10" t="s">
        <v>514</v>
      </c>
      <c r="F101" s="11" t="s">
        <v>28</v>
      </c>
      <c r="G101" s="10" t="s">
        <v>465</v>
      </c>
      <c r="H101" s="10" t="s">
        <v>515</v>
      </c>
      <c r="I101" s="10" t="s">
        <v>516</v>
      </c>
      <c r="J101" s="10"/>
      <c r="K101" s="12"/>
      <c r="L101" s="13" t="s">
        <v>517</v>
      </c>
    </row>
    <row r="102" customFormat="false" ht="33.75" hidden="false" customHeight="true" outlineLevel="0" collapsed="false">
      <c r="B102" s="9" t="n">
        <v>94</v>
      </c>
      <c r="C102" s="10" t="s">
        <v>518</v>
      </c>
      <c r="D102" s="10" t="s">
        <v>519</v>
      </c>
      <c r="E102" s="10" t="s">
        <v>520</v>
      </c>
      <c r="F102" s="11" t="s">
        <v>28</v>
      </c>
      <c r="G102" s="10" t="s">
        <v>465</v>
      </c>
      <c r="H102" s="10" t="s">
        <v>466</v>
      </c>
      <c r="I102" s="10" t="s">
        <v>521</v>
      </c>
      <c r="J102" s="10" t="s">
        <v>522</v>
      </c>
      <c r="K102" s="12"/>
      <c r="L102" s="13" t="s">
        <v>523</v>
      </c>
    </row>
    <row r="103" customFormat="false" ht="33.75" hidden="false" customHeight="true" outlineLevel="0" collapsed="false">
      <c r="B103" s="9" t="n">
        <v>95</v>
      </c>
      <c r="C103" s="10" t="s">
        <v>524</v>
      </c>
      <c r="D103" s="10" t="s">
        <v>525</v>
      </c>
      <c r="E103" s="10" t="s">
        <v>526</v>
      </c>
      <c r="F103" s="11" t="s">
        <v>28</v>
      </c>
      <c r="G103" s="10" t="s">
        <v>465</v>
      </c>
      <c r="H103" s="10" t="s">
        <v>527</v>
      </c>
      <c r="I103" s="10" t="s">
        <v>528</v>
      </c>
      <c r="J103" s="10" t="s">
        <v>529</v>
      </c>
      <c r="K103" s="12"/>
      <c r="L103" s="13" t="s">
        <v>530</v>
      </c>
    </row>
    <row r="104" customFormat="false" ht="33.75" hidden="false" customHeight="true" outlineLevel="0" collapsed="false">
      <c r="B104" s="9" t="n">
        <v>96</v>
      </c>
      <c r="C104" s="10" t="s">
        <v>531</v>
      </c>
      <c r="D104" s="10" t="s">
        <v>532</v>
      </c>
      <c r="E104" s="10" t="s">
        <v>533</v>
      </c>
      <c r="F104" s="11" t="s">
        <v>242</v>
      </c>
      <c r="G104" s="10" t="s">
        <v>465</v>
      </c>
      <c r="H104" s="10" t="s">
        <v>534</v>
      </c>
      <c r="I104" s="10" t="s">
        <v>535</v>
      </c>
      <c r="J104" s="10" t="s">
        <v>536</v>
      </c>
      <c r="K104" s="12"/>
      <c r="L104" s="13" t="s">
        <v>537</v>
      </c>
    </row>
    <row r="105" customFormat="false" ht="33.75" hidden="false" customHeight="true" outlineLevel="0" collapsed="false">
      <c r="B105" s="9" t="n">
        <v>97</v>
      </c>
      <c r="C105" s="10" t="s">
        <v>538</v>
      </c>
      <c r="D105" s="10" t="s">
        <v>539</v>
      </c>
      <c r="E105" s="10" t="s">
        <v>540</v>
      </c>
      <c r="F105" s="11" t="s">
        <v>28</v>
      </c>
      <c r="G105" s="10" t="s">
        <v>188</v>
      </c>
      <c r="H105" s="10" t="s">
        <v>541</v>
      </c>
      <c r="I105" s="10" t="s">
        <v>542</v>
      </c>
      <c r="J105" s="10" t="s">
        <v>543</v>
      </c>
      <c r="K105" s="12"/>
      <c r="L105" s="13" t="s">
        <v>544</v>
      </c>
    </row>
  </sheetData>
  <autoFilter ref="B8:L105"/>
  <conditionalFormatting sqref="F9:F105">
    <cfRule type="cellIs" priority="2" operator="equal" aboveAverage="0" equalAverage="0" bottom="0" percent="0" rank="0" text="" dxfId="13">
      <formula>"Completed"</formula>
    </cfRule>
    <cfRule type="cellIs" priority="3" operator="equal" aboveAverage="0" equalAverage="0" bottom="0" percent="0" rank="0" text="" dxfId="14">
      <formula>"In Progress"</formula>
    </cfRule>
    <cfRule type="cellIs" priority="4" operator="equal" aboveAverage="0" equalAverage="0" bottom="0" percent="0" rank="0" text="" dxfId="15">
      <formula>"In Review"</formula>
    </cfRule>
    <cfRule type="cellIs" priority="5" operator="equal" aboveAverage="0" equalAverage="0" bottom="0" percent="0" rank="0" text="" dxfId="16">
      <formula>"Planned"</formula>
    </cfRule>
  </conditionalFormatting>
  <dataValidations count="1">
    <dataValidation allowBlank="false" error="Choose Completed, In Progress, In Review or Planned." errorStyle="stop" errorTitle="Status" operator="between" showDropDown="false" showErrorMessage="false" showInputMessage="false" sqref="F9:F105" type="list">
      <formula1>"Completed,In Progress,In Review,Planned"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.7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7" min="4" style="0" width="13"/>
    <col collapsed="false" customWidth="true" hidden="false" outlineLevel="0" max="8" min="8" style="0" width="15"/>
  </cols>
  <sheetData>
    <row r="2" customFormat="false" ht="19.7" hidden="false" customHeight="false" outlineLevel="0" collapsed="false">
      <c r="B2" s="14" t="s">
        <v>545</v>
      </c>
    </row>
    <row r="4" customFormat="false" ht="15" hidden="false" customHeight="false" outlineLevel="0" collapsed="false">
      <c r="B4" s="15" t="s">
        <v>15</v>
      </c>
      <c r="C4" s="16" t="s">
        <v>546</v>
      </c>
      <c r="D4" s="16" t="s">
        <v>28</v>
      </c>
      <c r="E4" s="16" t="s">
        <v>242</v>
      </c>
      <c r="F4" s="16" t="s">
        <v>314</v>
      </c>
      <c r="G4" s="16" t="s">
        <v>69</v>
      </c>
      <c r="H4" s="16" t="s">
        <v>547</v>
      </c>
    </row>
    <row r="5" customFormat="false" ht="15" hidden="false" customHeight="false" outlineLevel="0" collapsed="false">
      <c r="B5" s="17" t="s">
        <v>25</v>
      </c>
      <c r="C5" s="18" t="n">
        <f aca="false">COUNTIF('Master Requirements Tracker'!$C$9:$C$105,B5)</f>
        <v>5</v>
      </c>
      <c r="D5" s="18" t="n">
        <f aca="false">COUNTIFS('Master Requirements Tracker'!$C$9:$C$105,B5,'Master Requirements Tracker'!$F$9:$F$105,"Completed")</f>
        <v>5</v>
      </c>
      <c r="E5" s="18" t="n">
        <f aca="false">COUNTIFS('Master Requirements Tracker'!$C$9:$C$105,B5,'Master Requirements Tracker'!$F$9:$F$105,"In Progress")</f>
        <v>0</v>
      </c>
      <c r="F5" s="18" t="n">
        <f aca="false">COUNTIFS('Master Requirements Tracker'!$C$9:$C$105,B5,'Master Requirements Tracker'!$F$9:$F$105,"In Review")</f>
        <v>0</v>
      </c>
      <c r="G5" s="18" t="n">
        <f aca="false">COUNTIFS('Master Requirements Tracker'!$C$9:$C$105,B5,'Master Requirements Tracker'!$F$9:$F$105,"Planned")</f>
        <v>0</v>
      </c>
      <c r="H5" s="19" t="n">
        <f aca="false">IF(C5&gt;0,D5/C5,0)</f>
        <v>1</v>
      </c>
    </row>
    <row r="6" customFormat="false" ht="15" hidden="false" customHeight="false" outlineLevel="0" collapsed="false">
      <c r="B6" s="17" t="s">
        <v>51</v>
      </c>
      <c r="C6" s="18" t="n">
        <f aca="false">COUNTIF('Master Requirements Tracker'!$C$9:$C$105,B6)</f>
        <v>7</v>
      </c>
      <c r="D6" s="18" t="n">
        <f aca="false">COUNTIFS('Master Requirements Tracker'!$C$9:$C$105,B6,'Master Requirements Tracker'!$F$9:$F$105,"Completed")</f>
        <v>6</v>
      </c>
      <c r="E6" s="18" t="n">
        <f aca="false">COUNTIFS('Master Requirements Tracker'!$C$9:$C$105,B6,'Master Requirements Tracker'!$F$9:$F$105,"In Progress")</f>
        <v>0</v>
      </c>
      <c r="F6" s="18" t="n">
        <f aca="false">COUNTIFS('Master Requirements Tracker'!$C$9:$C$105,B6,'Master Requirements Tracker'!$F$9:$F$105,"In Review")</f>
        <v>0</v>
      </c>
      <c r="G6" s="18" t="n">
        <f aca="false">COUNTIFS('Master Requirements Tracker'!$C$9:$C$105,B6,'Master Requirements Tracker'!$F$9:$F$105,"Planned")</f>
        <v>1</v>
      </c>
      <c r="H6" s="19" t="n">
        <f aca="false">IF(C6&gt;0,D6/C6,0)</f>
        <v>0.857142857142857</v>
      </c>
    </row>
    <row r="7" customFormat="false" ht="15" hidden="false" customHeight="false" outlineLevel="0" collapsed="false">
      <c r="B7" s="17" t="s">
        <v>88</v>
      </c>
      <c r="C7" s="18" t="n">
        <f aca="false">COUNTIF('Master Requirements Tracker'!$C$9:$C$105,B7)</f>
        <v>13</v>
      </c>
      <c r="D7" s="18" t="n">
        <f aca="false">COUNTIFS('Master Requirements Tracker'!$C$9:$C$105,B7,'Master Requirements Tracker'!$F$9:$F$105,"Completed")</f>
        <v>13</v>
      </c>
      <c r="E7" s="18" t="n">
        <f aca="false">COUNTIFS('Master Requirements Tracker'!$C$9:$C$105,B7,'Master Requirements Tracker'!$F$9:$F$105,"In Progress")</f>
        <v>0</v>
      </c>
      <c r="F7" s="18" t="n">
        <f aca="false">COUNTIFS('Master Requirements Tracker'!$C$9:$C$105,B7,'Master Requirements Tracker'!$F$9:$F$105,"In Review")</f>
        <v>0</v>
      </c>
      <c r="G7" s="18" t="n">
        <f aca="false">COUNTIFS('Master Requirements Tracker'!$C$9:$C$105,B7,'Master Requirements Tracker'!$F$9:$F$105,"Planned")</f>
        <v>0</v>
      </c>
      <c r="H7" s="19" t="n">
        <f aca="false">IF(C7&gt;0,D7/C7,0)</f>
        <v>1</v>
      </c>
    </row>
    <row r="8" customFormat="false" ht="15" hidden="false" customHeight="false" outlineLevel="0" collapsed="false">
      <c r="B8" s="17" t="s">
        <v>153</v>
      </c>
      <c r="C8" s="18" t="n">
        <f aca="false">COUNTIF('Master Requirements Tracker'!$C$9:$C$105,B8)</f>
        <v>1</v>
      </c>
      <c r="D8" s="18" t="n">
        <f aca="false">COUNTIFS('Master Requirements Tracker'!$C$9:$C$105,B8,'Master Requirements Tracker'!$F$9:$F$105,"Completed")</f>
        <v>1</v>
      </c>
      <c r="E8" s="18" t="n">
        <f aca="false">COUNTIFS('Master Requirements Tracker'!$C$9:$C$105,B8,'Master Requirements Tracker'!$F$9:$F$105,"In Progress")</f>
        <v>0</v>
      </c>
      <c r="F8" s="18" t="n">
        <f aca="false">COUNTIFS('Master Requirements Tracker'!$C$9:$C$105,B8,'Master Requirements Tracker'!$F$9:$F$105,"In Review")</f>
        <v>0</v>
      </c>
      <c r="G8" s="18" t="n">
        <f aca="false">COUNTIFS('Master Requirements Tracker'!$C$9:$C$105,B8,'Master Requirements Tracker'!$F$9:$F$105,"Planned")</f>
        <v>0</v>
      </c>
      <c r="H8" s="19" t="n">
        <f aca="false">IF(C8&gt;0,D8/C8,0)</f>
        <v>1</v>
      </c>
    </row>
    <row r="9" customFormat="false" ht="15" hidden="false" customHeight="false" outlineLevel="0" collapsed="false">
      <c r="B9" s="17" t="s">
        <v>160</v>
      </c>
      <c r="C9" s="18" t="n">
        <f aca="false">COUNTIF('Master Requirements Tracker'!$C$9:$C$105,B9)</f>
        <v>2</v>
      </c>
      <c r="D9" s="18" t="n">
        <f aca="false">COUNTIFS('Master Requirements Tracker'!$C$9:$C$105,B9,'Master Requirements Tracker'!$F$9:$F$105,"Completed")</f>
        <v>2</v>
      </c>
      <c r="E9" s="18" t="n">
        <f aca="false">COUNTIFS('Master Requirements Tracker'!$C$9:$C$105,B9,'Master Requirements Tracker'!$F$9:$F$105,"In Progress")</f>
        <v>0</v>
      </c>
      <c r="F9" s="18" t="n">
        <f aca="false">COUNTIFS('Master Requirements Tracker'!$C$9:$C$105,B9,'Master Requirements Tracker'!$F$9:$F$105,"In Review")</f>
        <v>0</v>
      </c>
      <c r="G9" s="18" t="n">
        <f aca="false">COUNTIFS('Master Requirements Tracker'!$C$9:$C$105,B9,'Master Requirements Tracker'!$F$9:$F$105,"Planned")</f>
        <v>0</v>
      </c>
      <c r="H9" s="19" t="n">
        <f aca="false">IF(C9&gt;0,D9/C9,0)</f>
        <v>1</v>
      </c>
    </row>
    <row r="10" customFormat="false" ht="15" hidden="false" customHeight="false" outlineLevel="0" collapsed="false">
      <c r="B10" s="17" t="s">
        <v>170</v>
      </c>
      <c r="C10" s="18" t="n">
        <f aca="false">COUNTIF('Master Requirements Tracker'!$C$9:$C$105,B10)</f>
        <v>1</v>
      </c>
      <c r="D10" s="18" t="n">
        <f aca="false">COUNTIFS('Master Requirements Tracker'!$C$9:$C$105,B10,'Master Requirements Tracker'!$F$9:$F$105,"Completed")</f>
        <v>1</v>
      </c>
      <c r="E10" s="18" t="n">
        <f aca="false">COUNTIFS('Master Requirements Tracker'!$C$9:$C$105,B10,'Master Requirements Tracker'!$F$9:$F$105,"In Progress")</f>
        <v>0</v>
      </c>
      <c r="F10" s="18" t="n">
        <f aca="false">COUNTIFS('Master Requirements Tracker'!$C$9:$C$105,B10,'Master Requirements Tracker'!$F$9:$F$105,"In Review")</f>
        <v>0</v>
      </c>
      <c r="G10" s="18" t="n">
        <f aca="false">COUNTIFS('Master Requirements Tracker'!$C$9:$C$105,B10,'Master Requirements Tracker'!$F$9:$F$105,"Planned")</f>
        <v>0</v>
      </c>
      <c r="H10" s="19" t="n">
        <f aca="false">IF(C10&gt;0,D10/C10,0)</f>
        <v>1</v>
      </c>
    </row>
    <row r="11" customFormat="false" ht="15" hidden="false" customHeight="false" outlineLevel="0" collapsed="false">
      <c r="B11" s="17" t="s">
        <v>176</v>
      </c>
      <c r="C11" s="18" t="n">
        <f aca="false">COUNTIF('Master Requirements Tracker'!$C$9:$C$105,B11)</f>
        <v>6</v>
      </c>
      <c r="D11" s="18" t="n">
        <f aca="false">COUNTIFS('Master Requirements Tracker'!$C$9:$C$105,B11,'Master Requirements Tracker'!$F$9:$F$105,"Completed")</f>
        <v>6</v>
      </c>
      <c r="E11" s="18" t="n">
        <f aca="false">COUNTIFS('Master Requirements Tracker'!$C$9:$C$105,B11,'Master Requirements Tracker'!$F$9:$F$105,"In Progress")</f>
        <v>0</v>
      </c>
      <c r="F11" s="18" t="n">
        <f aca="false">COUNTIFS('Master Requirements Tracker'!$C$9:$C$105,B11,'Master Requirements Tracker'!$F$9:$F$105,"In Review")</f>
        <v>0</v>
      </c>
      <c r="G11" s="18" t="n">
        <f aca="false">COUNTIFS('Master Requirements Tracker'!$C$9:$C$105,B11,'Master Requirements Tracker'!$F$9:$F$105,"Planned")</f>
        <v>0</v>
      </c>
      <c r="H11" s="19" t="n">
        <f aca="false">IF(C11&gt;0,D11/C11,0)</f>
        <v>1</v>
      </c>
    </row>
    <row r="12" customFormat="false" ht="15" hidden="false" customHeight="false" outlineLevel="0" collapsed="false">
      <c r="B12" s="17" t="s">
        <v>205</v>
      </c>
      <c r="C12" s="18" t="n">
        <f aca="false">COUNTIF('Master Requirements Tracker'!$C$9:$C$105,B12)</f>
        <v>4</v>
      </c>
      <c r="D12" s="18" t="n">
        <f aca="false">COUNTIFS('Master Requirements Tracker'!$C$9:$C$105,B12,'Master Requirements Tracker'!$F$9:$F$105,"Completed")</f>
        <v>4</v>
      </c>
      <c r="E12" s="18" t="n">
        <f aca="false">COUNTIFS('Master Requirements Tracker'!$C$9:$C$105,B12,'Master Requirements Tracker'!$F$9:$F$105,"In Progress")</f>
        <v>0</v>
      </c>
      <c r="F12" s="18" t="n">
        <f aca="false">COUNTIFS('Master Requirements Tracker'!$C$9:$C$105,B12,'Master Requirements Tracker'!$F$9:$F$105,"In Review")</f>
        <v>0</v>
      </c>
      <c r="G12" s="18" t="n">
        <f aca="false">COUNTIFS('Master Requirements Tracker'!$C$9:$C$105,B12,'Master Requirements Tracker'!$F$9:$F$105,"Planned")</f>
        <v>0</v>
      </c>
      <c r="H12" s="19" t="n">
        <f aca="false">IF(C12&gt;0,D12/C12,0)</f>
        <v>1</v>
      </c>
    </row>
    <row r="13" customFormat="false" ht="15" hidden="false" customHeight="false" outlineLevel="0" collapsed="false">
      <c r="B13" s="17" t="s">
        <v>229</v>
      </c>
      <c r="C13" s="18" t="n">
        <f aca="false">COUNTIF('Master Requirements Tracker'!$C$9:$C$105,B13)</f>
        <v>5</v>
      </c>
      <c r="D13" s="18" t="n">
        <f aca="false">COUNTIFS('Master Requirements Tracker'!$C$9:$C$105,B13,'Master Requirements Tracker'!$F$9:$F$105,"Completed")</f>
        <v>3</v>
      </c>
      <c r="E13" s="18" t="n">
        <f aca="false">COUNTIFS('Master Requirements Tracker'!$C$9:$C$105,B13,'Master Requirements Tracker'!$F$9:$F$105,"In Progress")</f>
        <v>2</v>
      </c>
      <c r="F13" s="18" t="n">
        <f aca="false">COUNTIFS('Master Requirements Tracker'!$C$9:$C$105,B13,'Master Requirements Tracker'!$F$9:$F$105,"In Review")</f>
        <v>0</v>
      </c>
      <c r="G13" s="18" t="n">
        <f aca="false">COUNTIFS('Master Requirements Tracker'!$C$9:$C$105,B13,'Master Requirements Tracker'!$F$9:$F$105,"Planned")</f>
        <v>0</v>
      </c>
      <c r="H13" s="19" t="n">
        <f aca="false">IF(C13&gt;0,D13/C13,0)</f>
        <v>0.6</v>
      </c>
    </row>
    <row r="14" customFormat="false" ht="15" hidden="false" customHeight="false" outlineLevel="0" collapsed="false">
      <c r="B14" s="17" t="s">
        <v>258</v>
      </c>
      <c r="C14" s="18" t="n">
        <f aca="false">COUNTIF('Master Requirements Tracker'!$C$9:$C$105,B14)</f>
        <v>2</v>
      </c>
      <c r="D14" s="18" t="n">
        <f aca="false">COUNTIFS('Master Requirements Tracker'!$C$9:$C$105,B14,'Master Requirements Tracker'!$F$9:$F$105,"Completed")</f>
        <v>2</v>
      </c>
      <c r="E14" s="18" t="n">
        <f aca="false">COUNTIFS('Master Requirements Tracker'!$C$9:$C$105,B14,'Master Requirements Tracker'!$F$9:$F$105,"In Progress")</f>
        <v>0</v>
      </c>
      <c r="F14" s="18" t="n">
        <f aca="false">COUNTIFS('Master Requirements Tracker'!$C$9:$C$105,B14,'Master Requirements Tracker'!$F$9:$F$105,"In Review")</f>
        <v>0</v>
      </c>
      <c r="G14" s="18" t="n">
        <f aca="false">COUNTIFS('Master Requirements Tracker'!$C$9:$C$105,B14,'Master Requirements Tracker'!$F$9:$F$105,"Planned")</f>
        <v>0</v>
      </c>
      <c r="H14" s="19" t="n">
        <f aca="false">IF(C14&gt;0,D14/C14,0)</f>
        <v>1</v>
      </c>
    </row>
    <row r="15" customFormat="false" ht="15" hidden="false" customHeight="false" outlineLevel="0" collapsed="false">
      <c r="B15" s="17" t="s">
        <v>267</v>
      </c>
      <c r="C15" s="18" t="n">
        <f aca="false">COUNTIF('Master Requirements Tracker'!$C$9:$C$105,B15)</f>
        <v>2</v>
      </c>
      <c r="D15" s="18" t="n">
        <f aca="false">COUNTIFS('Master Requirements Tracker'!$C$9:$C$105,B15,'Master Requirements Tracker'!$F$9:$F$105,"Completed")</f>
        <v>2</v>
      </c>
      <c r="E15" s="18" t="n">
        <f aca="false">COUNTIFS('Master Requirements Tracker'!$C$9:$C$105,B15,'Master Requirements Tracker'!$F$9:$F$105,"In Progress")</f>
        <v>0</v>
      </c>
      <c r="F15" s="18" t="n">
        <f aca="false">COUNTIFS('Master Requirements Tracker'!$C$9:$C$105,B15,'Master Requirements Tracker'!$F$9:$F$105,"In Review")</f>
        <v>0</v>
      </c>
      <c r="G15" s="18" t="n">
        <f aca="false">COUNTIFS('Master Requirements Tracker'!$C$9:$C$105,B15,'Master Requirements Tracker'!$F$9:$F$105,"Planned")</f>
        <v>0</v>
      </c>
      <c r="H15" s="19" t="n">
        <f aca="false">IF(C15&gt;0,D15/C15,0)</f>
        <v>1</v>
      </c>
    </row>
    <row r="16" customFormat="false" ht="15" hidden="false" customHeight="false" outlineLevel="0" collapsed="false">
      <c r="B16" s="17" t="s">
        <v>278</v>
      </c>
      <c r="C16" s="18" t="n">
        <f aca="false">COUNTIF('Master Requirements Tracker'!$C$9:$C$105,B16)</f>
        <v>2</v>
      </c>
      <c r="D16" s="18" t="n">
        <f aca="false">COUNTIFS('Master Requirements Tracker'!$C$9:$C$105,B16,'Master Requirements Tracker'!$F$9:$F$105,"Completed")</f>
        <v>2</v>
      </c>
      <c r="E16" s="18" t="n">
        <f aca="false">COUNTIFS('Master Requirements Tracker'!$C$9:$C$105,B16,'Master Requirements Tracker'!$F$9:$F$105,"In Progress")</f>
        <v>0</v>
      </c>
      <c r="F16" s="18" t="n">
        <f aca="false">COUNTIFS('Master Requirements Tracker'!$C$9:$C$105,B16,'Master Requirements Tracker'!$F$9:$F$105,"In Review")</f>
        <v>0</v>
      </c>
      <c r="G16" s="18" t="n">
        <f aca="false">COUNTIFS('Master Requirements Tracker'!$C$9:$C$105,B16,'Master Requirements Tracker'!$F$9:$F$105,"Planned")</f>
        <v>0</v>
      </c>
      <c r="H16" s="19" t="n">
        <f aca="false">IF(C16&gt;0,D16/C16,0)</f>
        <v>1</v>
      </c>
    </row>
    <row r="17" customFormat="false" ht="15" hidden="false" customHeight="false" outlineLevel="0" collapsed="false">
      <c r="B17" s="17" t="s">
        <v>288</v>
      </c>
      <c r="C17" s="18" t="n">
        <f aca="false">COUNTIF('Master Requirements Tracker'!$C$9:$C$105,B17)</f>
        <v>1</v>
      </c>
      <c r="D17" s="18" t="n">
        <f aca="false">COUNTIFS('Master Requirements Tracker'!$C$9:$C$105,B17,'Master Requirements Tracker'!$F$9:$F$105,"Completed")</f>
        <v>1</v>
      </c>
      <c r="E17" s="18" t="n">
        <f aca="false">COUNTIFS('Master Requirements Tracker'!$C$9:$C$105,B17,'Master Requirements Tracker'!$F$9:$F$105,"In Progress")</f>
        <v>0</v>
      </c>
      <c r="F17" s="18" t="n">
        <f aca="false">COUNTIFS('Master Requirements Tracker'!$C$9:$C$105,B17,'Master Requirements Tracker'!$F$9:$F$105,"In Review")</f>
        <v>0</v>
      </c>
      <c r="G17" s="18" t="n">
        <f aca="false">COUNTIFS('Master Requirements Tracker'!$C$9:$C$105,B17,'Master Requirements Tracker'!$F$9:$F$105,"Planned")</f>
        <v>0</v>
      </c>
      <c r="H17" s="19" t="n">
        <f aca="false">IF(C17&gt;0,D17/C17,0)</f>
        <v>1</v>
      </c>
    </row>
    <row r="18" customFormat="false" ht="15" hidden="false" customHeight="false" outlineLevel="0" collapsed="false">
      <c r="B18" s="17" t="s">
        <v>294</v>
      </c>
      <c r="C18" s="18" t="n">
        <f aca="false">COUNTIF('Master Requirements Tracker'!$C$9:$C$105,B18)</f>
        <v>2</v>
      </c>
      <c r="D18" s="18" t="n">
        <f aca="false">COUNTIFS('Master Requirements Tracker'!$C$9:$C$105,B18,'Master Requirements Tracker'!$F$9:$F$105,"Completed")</f>
        <v>1</v>
      </c>
      <c r="E18" s="18" t="n">
        <f aca="false">COUNTIFS('Master Requirements Tracker'!$C$9:$C$105,B18,'Master Requirements Tracker'!$F$9:$F$105,"In Progress")</f>
        <v>1</v>
      </c>
      <c r="F18" s="18" t="n">
        <f aca="false">COUNTIFS('Master Requirements Tracker'!$C$9:$C$105,B18,'Master Requirements Tracker'!$F$9:$F$105,"In Review")</f>
        <v>0</v>
      </c>
      <c r="G18" s="18" t="n">
        <f aca="false">COUNTIFS('Master Requirements Tracker'!$C$9:$C$105,B18,'Master Requirements Tracker'!$F$9:$F$105,"Planned")</f>
        <v>0</v>
      </c>
      <c r="H18" s="19" t="n">
        <f aca="false">IF(C18&gt;0,D18/C18,0)</f>
        <v>0.5</v>
      </c>
    </row>
    <row r="19" customFormat="false" ht="15" hidden="false" customHeight="false" outlineLevel="0" collapsed="false">
      <c r="B19" s="17" t="s">
        <v>305</v>
      </c>
      <c r="C19" s="18" t="n">
        <f aca="false">COUNTIF('Master Requirements Tracker'!$C$9:$C$105,B19)</f>
        <v>2</v>
      </c>
      <c r="D19" s="18" t="n">
        <f aca="false">COUNTIFS('Master Requirements Tracker'!$C$9:$C$105,B19,'Master Requirements Tracker'!$F$9:$F$105,"Completed")</f>
        <v>1</v>
      </c>
      <c r="E19" s="18" t="n">
        <f aca="false">COUNTIFS('Master Requirements Tracker'!$C$9:$C$105,B19,'Master Requirements Tracker'!$F$9:$F$105,"In Progress")</f>
        <v>0</v>
      </c>
      <c r="F19" s="18" t="n">
        <f aca="false">COUNTIFS('Master Requirements Tracker'!$C$9:$C$105,B19,'Master Requirements Tracker'!$F$9:$F$105,"In Review")</f>
        <v>1</v>
      </c>
      <c r="G19" s="18" t="n">
        <f aca="false">COUNTIFS('Master Requirements Tracker'!$C$9:$C$105,B19,'Master Requirements Tracker'!$F$9:$F$105,"Planned")</f>
        <v>0</v>
      </c>
      <c r="H19" s="19" t="n">
        <f aca="false">IF(C19&gt;0,D19/C19,0)</f>
        <v>0.5</v>
      </c>
    </row>
    <row r="20" customFormat="false" ht="15" hidden="false" customHeight="false" outlineLevel="0" collapsed="false">
      <c r="B20" s="17" t="s">
        <v>316</v>
      </c>
      <c r="C20" s="18" t="n">
        <f aca="false">COUNTIF('Master Requirements Tracker'!$C$9:$C$105,B20)</f>
        <v>2</v>
      </c>
      <c r="D20" s="18" t="n">
        <f aca="false">COUNTIFS('Master Requirements Tracker'!$C$9:$C$105,B20,'Master Requirements Tracker'!$F$9:$F$105,"Completed")</f>
        <v>1</v>
      </c>
      <c r="E20" s="18" t="n">
        <f aca="false">COUNTIFS('Master Requirements Tracker'!$C$9:$C$105,B20,'Master Requirements Tracker'!$F$9:$F$105,"In Progress")</f>
        <v>0</v>
      </c>
      <c r="F20" s="18" t="n">
        <f aca="false">COUNTIFS('Master Requirements Tracker'!$C$9:$C$105,B20,'Master Requirements Tracker'!$F$9:$F$105,"In Review")</f>
        <v>1</v>
      </c>
      <c r="G20" s="18" t="n">
        <f aca="false">COUNTIFS('Master Requirements Tracker'!$C$9:$C$105,B20,'Master Requirements Tracker'!$F$9:$F$105,"Planned")</f>
        <v>0</v>
      </c>
      <c r="H20" s="19" t="n">
        <f aca="false">IF(C20&gt;0,D20/C20,0)</f>
        <v>0.5</v>
      </c>
    </row>
    <row r="21" customFormat="false" ht="15" hidden="false" customHeight="false" outlineLevel="0" collapsed="false">
      <c r="B21" s="17" t="s">
        <v>325</v>
      </c>
      <c r="C21" s="18" t="n">
        <f aca="false">COUNTIF('Master Requirements Tracker'!$C$9:$C$105,B21)</f>
        <v>1</v>
      </c>
      <c r="D21" s="18" t="n">
        <f aca="false">COUNTIFS('Master Requirements Tracker'!$C$9:$C$105,B21,'Master Requirements Tracker'!$F$9:$F$105,"Completed")</f>
        <v>1</v>
      </c>
      <c r="E21" s="18" t="n">
        <f aca="false">COUNTIFS('Master Requirements Tracker'!$C$9:$C$105,B21,'Master Requirements Tracker'!$F$9:$F$105,"In Progress")</f>
        <v>0</v>
      </c>
      <c r="F21" s="18" t="n">
        <f aca="false">COUNTIFS('Master Requirements Tracker'!$C$9:$C$105,B21,'Master Requirements Tracker'!$F$9:$F$105,"In Review")</f>
        <v>0</v>
      </c>
      <c r="G21" s="18" t="n">
        <f aca="false">COUNTIFS('Master Requirements Tracker'!$C$9:$C$105,B21,'Master Requirements Tracker'!$F$9:$F$105,"Planned")</f>
        <v>0</v>
      </c>
      <c r="H21" s="19" t="n">
        <f aca="false">IF(C21&gt;0,D21/C21,0)</f>
        <v>1</v>
      </c>
    </row>
    <row r="22" customFormat="false" ht="15" hidden="false" customHeight="false" outlineLevel="0" collapsed="false">
      <c r="B22" s="17" t="s">
        <v>331</v>
      </c>
      <c r="C22" s="18" t="n">
        <f aca="false">COUNTIF('Master Requirements Tracker'!$C$9:$C$105,B22)</f>
        <v>4</v>
      </c>
      <c r="D22" s="18" t="n">
        <f aca="false">COUNTIFS('Master Requirements Tracker'!$C$9:$C$105,B22,'Master Requirements Tracker'!$F$9:$F$105,"Completed")</f>
        <v>3</v>
      </c>
      <c r="E22" s="18" t="n">
        <f aca="false">COUNTIFS('Master Requirements Tracker'!$C$9:$C$105,B22,'Master Requirements Tracker'!$F$9:$F$105,"In Progress")</f>
        <v>1</v>
      </c>
      <c r="F22" s="18" t="n">
        <f aca="false">COUNTIFS('Master Requirements Tracker'!$C$9:$C$105,B22,'Master Requirements Tracker'!$F$9:$F$105,"In Review")</f>
        <v>0</v>
      </c>
      <c r="G22" s="18" t="n">
        <f aca="false">COUNTIFS('Master Requirements Tracker'!$C$9:$C$105,B22,'Master Requirements Tracker'!$F$9:$F$105,"Planned")</f>
        <v>0</v>
      </c>
      <c r="H22" s="19" t="n">
        <f aca="false">IF(C22&gt;0,D22/C22,0)</f>
        <v>0.75</v>
      </c>
    </row>
    <row r="23" customFormat="false" ht="15" hidden="false" customHeight="false" outlineLevel="0" collapsed="false">
      <c r="B23" s="17" t="s">
        <v>352</v>
      </c>
      <c r="C23" s="18" t="n">
        <f aca="false">COUNTIF('Master Requirements Tracker'!$C$9:$C$105,B23)</f>
        <v>5</v>
      </c>
      <c r="D23" s="18" t="n">
        <f aca="false">COUNTIFS('Master Requirements Tracker'!$C$9:$C$105,B23,'Master Requirements Tracker'!$F$9:$F$105,"Completed")</f>
        <v>5</v>
      </c>
      <c r="E23" s="18" t="n">
        <f aca="false">COUNTIFS('Master Requirements Tracker'!$C$9:$C$105,B23,'Master Requirements Tracker'!$F$9:$F$105,"In Progress")</f>
        <v>0</v>
      </c>
      <c r="F23" s="18" t="n">
        <f aca="false">COUNTIFS('Master Requirements Tracker'!$C$9:$C$105,B23,'Master Requirements Tracker'!$F$9:$F$105,"In Review")</f>
        <v>0</v>
      </c>
      <c r="G23" s="18" t="n">
        <f aca="false">COUNTIFS('Master Requirements Tracker'!$C$9:$C$105,B23,'Master Requirements Tracker'!$F$9:$F$105,"Planned")</f>
        <v>0</v>
      </c>
      <c r="H23" s="19" t="n">
        <f aca="false">IF(C23&gt;0,D23/C23,0)</f>
        <v>1</v>
      </c>
    </row>
    <row r="24" customFormat="false" ht="15" hidden="false" customHeight="false" outlineLevel="0" collapsed="false">
      <c r="B24" s="17" t="s">
        <v>378</v>
      </c>
      <c r="C24" s="18" t="n">
        <f aca="false">COUNTIF('Master Requirements Tracker'!$C$9:$C$105,B24)</f>
        <v>2</v>
      </c>
      <c r="D24" s="18" t="n">
        <f aca="false">COUNTIFS('Master Requirements Tracker'!$C$9:$C$105,B24,'Master Requirements Tracker'!$F$9:$F$105,"Completed")</f>
        <v>2</v>
      </c>
      <c r="E24" s="18" t="n">
        <f aca="false">COUNTIFS('Master Requirements Tracker'!$C$9:$C$105,B24,'Master Requirements Tracker'!$F$9:$F$105,"In Progress")</f>
        <v>0</v>
      </c>
      <c r="F24" s="18" t="n">
        <f aca="false">COUNTIFS('Master Requirements Tracker'!$C$9:$C$105,B24,'Master Requirements Tracker'!$F$9:$F$105,"In Review")</f>
        <v>0</v>
      </c>
      <c r="G24" s="18" t="n">
        <f aca="false">COUNTIFS('Master Requirements Tracker'!$C$9:$C$105,B24,'Master Requirements Tracker'!$F$9:$F$105,"Planned")</f>
        <v>0</v>
      </c>
      <c r="H24" s="19" t="n">
        <f aca="false">IF(C24&gt;0,D24/C24,0)</f>
        <v>1</v>
      </c>
    </row>
    <row r="25" customFormat="false" ht="15" hidden="false" customHeight="false" outlineLevel="0" collapsed="false">
      <c r="B25" s="17" t="s">
        <v>388</v>
      </c>
      <c r="C25" s="18" t="n">
        <f aca="false">COUNTIF('Master Requirements Tracker'!$C$9:$C$105,B25)</f>
        <v>6</v>
      </c>
      <c r="D25" s="18" t="n">
        <f aca="false">COUNTIFS('Master Requirements Tracker'!$C$9:$C$105,B25,'Master Requirements Tracker'!$F$9:$F$105,"Completed")</f>
        <v>6</v>
      </c>
      <c r="E25" s="18" t="n">
        <f aca="false">COUNTIFS('Master Requirements Tracker'!$C$9:$C$105,B25,'Master Requirements Tracker'!$F$9:$F$105,"In Progress")</f>
        <v>0</v>
      </c>
      <c r="F25" s="18" t="n">
        <f aca="false">COUNTIFS('Master Requirements Tracker'!$C$9:$C$105,B25,'Master Requirements Tracker'!$F$9:$F$105,"In Review")</f>
        <v>0</v>
      </c>
      <c r="G25" s="18" t="n">
        <f aca="false">COUNTIFS('Master Requirements Tracker'!$C$9:$C$105,B25,'Master Requirements Tracker'!$F$9:$F$105,"Planned")</f>
        <v>0</v>
      </c>
      <c r="H25" s="19" t="n">
        <f aca="false">IF(C25&gt;0,D25/C25,0)</f>
        <v>1</v>
      </c>
    </row>
    <row r="26" customFormat="false" ht="15" hidden="false" customHeight="false" outlineLevel="0" collapsed="false">
      <c r="B26" s="17" t="s">
        <v>415</v>
      </c>
      <c r="C26" s="18" t="n">
        <f aca="false">COUNTIF('Master Requirements Tracker'!$C$9:$C$105,B26)</f>
        <v>1</v>
      </c>
      <c r="D26" s="18" t="n">
        <f aca="false">COUNTIFS('Master Requirements Tracker'!$C$9:$C$105,B26,'Master Requirements Tracker'!$F$9:$F$105,"Completed")</f>
        <v>1</v>
      </c>
      <c r="E26" s="18" t="n">
        <f aca="false">COUNTIFS('Master Requirements Tracker'!$C$9:$C$105,B26,'Master Requirements Tracker'!$F$9:$F$105,"In Progress")</f>
        <v>0</v>
      </c>
      <c r="F26" s="18" t="n">
        <f aca="false">COUNTIFS('Master Requirements Tracker'!$C$9:$C$105,B26,'Master Requirements Tracker'!$F$9:$F$105,"In Review")</f>
        <v>0</v>
      </c>
      <c r="G26" s="18" t="n">
        <f aca="false">COUNTIFS('Master Requirements Tracker'!$C$9:$C$105,B26,'Master Requirements Tracker'!$F$9:$F$105,"Planned")</f>
        <v>0</v>
      </c>
      <c r="H26" s="19" t="n">
        <f aca="false">IF(C26&gt;0,D26/C26,0)</f>
        <v>1</v>
      </c>
    </row>
    <row r="27" customFormat="false" ht="15" hidden="false" customHeight="false" outlineLevel="0" collapsed="false">
      <c r="B27" s="17" t="s">
        <v>421</v>
      </c>
      <c r="C27" s="18" t="n">
        <f aca="false">COUNTIF('Master Requirements Tracker'!$C$9:$C$105,B27)</f>
        <v>4</v>
      </c>
      <c r="D27" s="18" t="n">
        <f aca="false">COUNTIFS('Master Requirements Tracker'!$C$9:$C$105,B27,'Master Requirements Tracker'!$F$9:$F$105,"Completed")</f>
        <v>4</v>
      </c>
      <c r="E27" s="18" t="n">
        <f aca="false">COUNTIFS('Master Requirements Tracker'!$C$9:$C$105,B27,'Master Requirements Tracker'!$F$9:$F$105,"In Progress")</f>
        <v>0</v>
      </c>
      <c r="F27" s="18" t="n">
        <f aca="false">COUNTIFS('Master Requirements Tracker'!$C$9:$C$105,B27,'Master Requirements Tracker'!$F$9:$F$105,"In Review")</f>
        <v>0</v>
      </c>
      <c r="G27" s="18" t="n">
        <f aca="false">COUNTIFS('Master Requirements Tracker'!$C$9:$C$105,B27,'Master Requirements Tracker'!$F$9:$F$105,"Planned")</f>
        <v>0</v>
      </c>
      <c r="H27" s="19" t="n">
        <f aca="false">IF(C27&gt;0,D27/C27,0)</f>
        <v>1</v>
      </c>
    </row>
    <row r="28" customFormat="false" ht="15" hidden="false" customHeight="false" outlineLevel="0" collapsed="false">
      <c r="B28" s="17" t="s">
        <v>440</v>
      </c>
      <c r="C28" s="18" t="n">
        <f aca="false">COUNTIF('Master Requirements Tracker'!$C$9:$C$105,B28)</f>
        <v>4</v>
      </c>
      <c r="D28" s="18" t="n">
        <f aca="false">COUNTIFS('Master Requirements Tracker'!$C$9:$C$105,B28,'Master Requirements Tracker'!$F$9:$F$105,"Completed")</f>
        <v>4</v>
      </c>
      <c r="E28" s="18" t="n">
        <f aca="false">COUNTIFS('Master Requirements Tracker'!$C$9:$C$105,B28,'Master Requirements Tracker'!$F$9:$F$105,"In Progress")</f>
        <v>0</v>
      </c>
      <c r="F28" s="18" t="n">
        <f aca="false">COUNTIFS('Master Requirements Tracker'!$C$9:$C$105,B28,'Master Requirements Tracker'!$F$9:$F$105,"In Review")</f>
        <v>0</v>
      </c>
      <c r="G28" s="18" t="n">
        <f aca="false">COUNTIFS('Master Requirements Tracker'!$C$9:$C$105,B28,'Master Requirements Tracker'!$F$9:$F$105,"Planned")</f>
        <v>0</v>
      </c>
      <c r="H28" s="19" t="n">
        <f aca="false">IF(C28&gt;0,D28/C28,0)</f>
        <v>1</v>
      </c>
    </row>
    <row r="29" customFormat="false" ht="15" hidden="false" customHeight="false" outlineLevel="0" collapsed="false">
      <c r="B29" s="17" t="s">
        <v>462</v>
      </c>
      <c r="C29" s="18" t="n">
        <f aca="false">COUNTIF('Master Requirements Tracker'!$C$9:$C$105,B29)</f>
        <v>1</v>
      </c>
      <c r="D29" s="18" t="n">
        <f aca="false">COUNTIFS('Master Requirements Tracker'!$C$9:$C$105,B29,'Master Requirements Tracker'!$F$9:$F$105,"Completed")</f>
        <v>1</v>
      </c>
      <c r="E29" s="18" t="n">
        <f aca="false">COUNTIFS('Master Requirements Tracker'!$C$9:$C$105,B29,'Master Requirements Tracker'!$F$9:$F$105,"In Progress")</f>
        <v>0</v>
      </c>
      <c r="F29" s="18" t="n">
        <f aca="false">COUNTIFS('Master Requirements Tracker'!$C$9:$C$105,B29,'Master Requirements Tracker'!$F$9:$F$105,"In Review")</f>
        <v>0</v>
      </c>
      <c r="G29" s="18" t="n">
        <f aca="false">COUNTIFS('Master Requirements Tracker'!$C$9:$C$105,B29,'Master Requirements Tracker'!$F$9:$F$105,"Planned")</f>
        <v>0</v>
      </c>
      <c r="H29" s="19" t="n">
        <f aca="false">IF(C29&gt;0,D29/C29,0)</f>
        <v>1</v>
      </c>
    </row>
    <row r="30" customFormat="false" ht="15" hidden="false" customHeight="false" outlineLevel="0" collapsed="false">
      <c r="B30" s="17" t="s">
        <v>470</v>
      </c>
      <c r="C30" s="18" t="n">
        <f aca="false">COUNTIF('Master Requirements Tracker'!$C$9:$C$105,B30)</f>
        <v>2</v>
      </c>
      <c r="D30" s="18" t="n">
        <f aca="false">COUNTIFS('Master Requirements Tracker'!$C$9:$C$105,B30,'Master Requirements Tracker'!$F$9:$F$105,"Completed")</f>
        <v>1</v>
      </c>
      <c r="E30" s="18" t="n">
        <f aca="false">COUNTIFS('Master Requirements Tracker'!$C$9:$C$105,B30,'Master Requirements Tracker'!$F$9:$F$105,"In Progress")</f>
        <v>0</v>
      </c>
      <c r="F30" s="18" t="n">
        <f aca="false">COUNTIFS('Master Requirements Tracker'!$C$9:$C$105,B30,'Master Requirements Tracker'!$F$9:$F$105,"In Review")</f>
        <v>0</v>
      </c>
      <c r="G30" s="18" t="n">
        <f aca="false">COUNTIFS('Master Requirements Tracker'!$C$9:$C$105,B30,'Master Requirements Tracker'!$F$9:$F$105,"Planned")</f>
        <v>1</v>
      </c>
      <c r="H30" s="19" t="n">
        <f aca="false">IF(C30&gt;0,D30/C30,0)</f>
        <v>0.5</v>
      </c>
    </row>
    <row r="31" customFormat="false" ht="15" hidden="false" customHeight="false" outlineLevel="0" collapsed="false">
      <c r="B31" s="17" t="s">
        <v>479</v>
      </c>
      <c r="C31" s="18" t="n">
        <f aca="false">COUNTIF('Master Requirements Tracker'!$C$9:$C$105,B31)</f>
        <v>1</v>
      </c>
      <c r="D31" s="18" t="n">
        <f aca="false">COUNTIFS('Master Requirements Tracker'!$C$9:$C$105,B31,'Master Requirements Tracker'!$F$9:$F$105,"Completed")</f>
        <v>0</v>
      </c>
      <c r="E31" s="18" t="n">
        <f aca="false">COUNTIFS('Master Requirements Tracker'!$C$9:$C$105,B31,'Master Requirements Tracker'!$F$9:$F$105,"In Progress")</f>
        <v>1</v>
      </c>
      <c r="F31" s="18" t="n">
        <f aca="false">COUNTIFS('Master Requirements Tracker'!$C$9:$C$105,B31,'Master Requirements Tracker'!$F$9:$F$105,"In Review")</f>
        <v>0</v>
      </c>
      <c r="G31" s="18" t="n">
        <f aca="false">COUNTIFS('Master Requirements Tracker'!$C$9:$C$105,B31,'Master Requirements Tracker'!$F$9:$F$105,"Planned")</f>
        <v>0</v>
      </c>
      <c r="H31" s="19" t="n">
        <f aca="false">IF(C31&gt;0,D31/C31,0)</f>
        <v>0</v>
      </c>
    </row>
    <row r="32" customFormat="false" ht="15" hidden="false" customHeight="false" outlineLevel="0" collapsed="false">
      <c r="B32" s="17" t="s">
        <v>486</v>
      </c>
      <c r="C32" s="18" t="n">
        <f aca="false">COUNTIF('Master Requirements Tracker'!$C$9:$C$105,B32)</f>
        <v>1</v>
      </c>
      <c r="D32" s="18" t="n">
        <f aca="false">COUNTIFS('Master Requirements Tracker'!$C$9:$C$105,B32,'Master Requirements Tracker'!$F$9:$F$105,"Completed")</f>
        <v>1</v>
      </c>
      <c r="E32" s="18" t="n">
        <f aca="false">COUNTIFS('Master Requirements Tracker'!$C$9:$C$105,B32,'Master Requirements Tracker'!$F$9:$F$105,"In Progress")</f>
        <v>0</v>
      </c>
      <c r="F32" s="18" t="n">
        <f aca="false">COUNTIFS('Master Requirements Tracker'!$C$9:$C$105,B32,'Master Requirements Tracker'!$F$9:$F$105,"In Review")</f>
        <v>0</v>
      </c>
      <c r="G32" s="18" t="n">
        <f aca="false">COUNTIFS('Master Requirements Tracker'!$C$9:$C$105,B32,'Master Requirements Tracker'!$F$9:$F$105,"Planned")</f>
        <v>0</v>
      </c>
      <c r="H32" s="19" t="n">
        <f aca="false">IF(C32&gt;0,D32/C32,0)</f>
        <v>1</v>
      </c>
    </row>
    <row r="33" customFormat="false" ht="15" hidden="false" customHeight="false" outlineLevel="0" collapsed="false">
      <c r="B33" s="17" t="s">
        <v>492</v>
      </c>
      <c r="C33" s="18" t="n">
        <f aca="false">COUNTIF('Master Requirements Tracker'!$C$9:$C$105,B33)</f>
        <v>1</v>
      </c>
      <c r="D33" s="18" t="n">
        <f aca="false">COUNTIFS('Master Requirements Tracker'!$C$9:$C$105,B33,'Master Requirements Tracker'!$F$9:$F$105,"Completed")</f>
        <v>1</v>
      </c>
      <c r="E33" s="18" t="n">
        <f aca="false">COUNTIFS('Master Requirements Tracker'!$C$9:$C$105,B33,'Master Requirements Tracker'!$F$9:$F$105,"In Progress")</f>
        <v>0</v>
      </c>
      <c r="F33" s="18" t="n">
        <f aca="false">COUNTIFS('Master Requirements Tracker'!$C$9:$C$105,B33,'Master Requirements Tracker'!$F$9:$F$105,"In Review")</f>
        <v>0</v>
      </c>
      <c r="G33" s="18" t="n">
        <f aca="false">COUNTIFS('Master Requirements Tracker'!$C$9:$C$105,B33,'Master Requirements Tracker'!$F$9:$F$105,"Planned")</f>
        <v>0</v>
      </c>
      <c r="H33" s="19" t="n">
        <f aca="false">IF(C33&gt;0,D33/C33,0)</f>
        <v>1</v>
      </c>
    </row>
    <row r="34" customFormat="false" ht="15" hidden="false" customHeight="false" outlineLevel="0" collapsed="false">
      <c r="B34" s="17" t="s">
        <v>498</v>
      </c>
      <c r="C34" s="18" t="n">
        <f aca="false">COUNTIF('Master Requirements Tracker'!$C$9:$C$105,B34)</f>
        <v>1</v>
      </c>
      <c r="D34" s="18" t="n">
        <f aca="false">COUNTIFS('Master Requirements Tracker'!$C$9:$C$105,B34,'Master Requirements Tracker'!$F$9:$F$105,"Completed")</f>
        <v>0</v>
      </c>
      <c r="E34" s="18" t="n">
        <f aca="false">COUNTIFS('Master Requirements Tracker'!$C$9:$C$105,B34,'Master Requirements Tracker'!$F$9:$F$105,"In Progress")</f>
        <v>1</v>
      </c>
      <c r="F34" s="18" t="n">
        <f aca="false">COUNTIFS('Master Requirements Tracker'!$C$9:$C$105,B34,'Master Requirements Tracker'!$F$9:$F$105,"In Review")</f>
        <v>0</v>
      </c>
      <c r="G34" s="18" t="n">
        <f aca="false">COUNTIFS('Master Requirements Tracker'!$C$9:$C$105,B34,'Master Requirements Tracker'!$F$9:$F$105,"Planned")</f>
        <v>0</v>
      </c>
      <c r="H34" s="19" t="n">
        <f aca="false">IF(C34&gt;0,D34/C34,0)</f>
        <v>0</v>
      </c>
    </row>
    <row r="35" customFormat="false" ht="15" hidden="false" customHeight="false" outlineLevel="0" collapsed="false">
      <c r="B35" s="17" t="s">
        <v>505</v>
      </c>
      <c r="C35" s="18" t="n">
        <f aca="false">COUNTIF('Master Requirements Tracker'!$C$9:$C$105,B35)</f>
        <v>1</v>
      </c>
      <c r="D35" s="18" t="n">
        <f aca="false">COUNTIFS('Master Requirements Tracker'!$C$9:$C$105,B35,'Master Requirements Tracker'!$F$9:$F$105,"Completed")</f>
        <v>1</v>
      </c>
      <c r="E35" s="18" t="n">
        <f aca="false">COUNTIFS('Master Requirements Tracker'!$C$9:$C$105,B35,'Master Requirements Tracker'!$F$9:$F$105,"In Progress")</f>
        <v>0</v>
      </c>
      <c r="F35" s="18" t="n">
        <f aca="false">COUNTIFS('Master Requirements Tracker'!$C$9:$C$105,B35,'Master Requirements Tracker'!$F$9:$F$105,"In Review")</f>
        <v>0</v>
      </c>
      <c r="G35" s="18" t="n">
        <f aca="false">COUNTIFS('Master Requirements Tracker'!$C$9:$C$105,B35,'Master Requirements Tracker'!$F$9:$F$105,"Planned")</f>
        <v>0</v>
      </c>
      <c r="H35" s="19" t="n">
        <f aca="false">IF(C35&gt;0,D35/C35,0)</f>
        <v>1</v>
      </c>
    </row>
    <row r="36" customFormat="false" ht="15" hidden="false" customHeight="false" outlineLevel="0" collapsed="false">
      <c r="B36" s="17" t="s">
        <v>512</v>
      </c>
      <c r="C36" s="18" t="n">
        <f aca="false">COUNTIF('Master Requirements Tracker'!$C$9:$C$105,B36)</f>
        <v>1</v>
      </c>
      <c r="D36" s="18" t="n">
        <f aca="false">COUNTIFS('Master Requirements Tracker'!$C$9:$C$105,B36,'Master Requirements Tracker'!$F$9:$F$105,"Completed")</f>
        <v>1</v>
      </c>
      <c r="E36" s="18" t="n">
        <f aca="false">COUNTIFS('Master Requirements Tracker'!$C$9:$C$105,B36,'Master Requirements Tracker'!$F$9:$F$105,"In Progress")</f>
        <v>0</v>
      </c>
      <c r="F36" s="18" t="n">
        <f aca="false">COUNTIFS('Master Requirements Tracker'!$C$9:$C$105,B36,'Master Requirements Tracker'!$F$9:$F$105,"In Review")</f>
        <v>0</v>
      </c>
      <c r="G36" s="18" t="n">
        <f aca="false">COUNTIFS('Master Requirements Tracker'!$C$9:$C$105,B36,'Master Requirements Tracker'!$F$9:$F$105,"Planned")</f>
        <v>0</v>
      </c>
      <c r="H36" s="19" t="n">
        <f aca="false">IF(C36&gt;0,D36/C36,0)</f>
        <v>1</v>
      </c>
    </row>
    <row r="37" customFormat="false" ht="15" hidden="false" customHeight="false" outlineLevel="0" collapsed="false">
      <c r="B37" s="17" t="s">
        <v>518</v>
      </c>
      <c r="C37" s="18" t="n">
        <f aca="false">COUNTIF('Master Requirements Tracker'!$C$9:$C$105,B37)</f>
        <v>1</v>
      </c>
      <c r="D37" s="18" t="n">
        <f aca="false">COUNTIFS('Master Requirements Tracker'!$C$9:$C$105,B37,'Master Requirements Tracker'!$F$9:$F$105,"Completed")</f>
        <v>1</v>
      </c>
      <c r="E37" s="18" t="n">
        <f aca="false">COUNTIFS('Master Requirements Tracker'!$C$9:$C$105,B37,'Master Requirements Tracker'!$F$9:$F$105,"In Progress")</f>
        <v>0</v>
      </c>
      <c r="F37" s="18" t="n">
        <f aca="false">COUNTIFS('Master Requirements Tracker'!$C$9:$C$105,B37,'Master Requirements Tracker'!$F$9:$F$105,"In Review")</f>
        <v>0</v>
      </c>
      <c r="G37" s="18" t="n">
        <f aca="false">COUNTIFS('Master Requirements Tracker'!$C$9:$C$105,B37,'Master Requirements Tracker'!$F$9:$F$105,"Planned")</f>
        <v>0</v>
      </c>
      <c r="H37" s="19" t="n">
        <f aca="false">IF(C37&gt;0,D37/C37,0)</f>
        <v>1</v>
      </c>
    </row>
    <row r="38" customFormat="false" ht="15" hidden="false" customHeight="false" outlineLevel="0" collapsed="false">
      <c r="B38" s="17" t="s">
        <v>524</v>
      </c>
      <c r="C38" s="18" t="n">
        <f aca="false">COUNTIF('Master Requirements Tracker'!$C$9:$C$105,B38)</f>
        <v>1</v>
      </c>
      <c r="D38" s="18" t="n">
        <f aca="false">COUNTIFS('Master Requirements Tracker'!$C$9:$C$105,B38,'Master Requirements Tracker'!$F$9:$F$105,"Completed")</f>
        <v>1</v>
      </c>
      <c r="E38" s="18" t="n">
        <f aca="false">COUNTIFS('Master Requirements Tracker'!$C$9:$C$105,B38,'Master Requirements Tracker'!$F$9:$F$105,"In Progress")</f>
        <v>0</v>
      </c>
      <c r="F38" s="18" t="n">
        <f aca="false">COUNTIFS('Master Requirements Tracker'!$C$9:$C$105,B38,'Master Requirements Tracker'!$F$9:$F$105,"In Review")</f>
        <v>0</v>
      </c>
      <c r="G38" s="18" t="n">
        <f aca="false">COUNTIFS('Master Requirements Tracker'!$C$9:$C$105,B38,'Master Requirements Tracker'!$F$9:$F$105,"Planned")</f>
        <v>0</v>
      </c>
      <c r="H38" s="19" t="n">
        <f aca="false">IF(C38&gt;0,D38/C38,0)</f>
        <v>1</v>
      </c>
    </row>
    <row r="39" customFormat="false" ht="15" hidden="false" customHeight="false" outlineLevel="0" collapsed="false">
      <c r="B39" s="17" t="s">
        <v>531</v>
      </c>
      <c r="C39" s="18" t="n">
        <f aca="false">COUNTIF('Master Requirements Tracker'!$C$9:$C$105,B39)</f>
        <v>1</v>
      </c>
      <c r="D39" s="18" t="n">
        <f aca="false">COUNTIFS('Master Requirements Tracker'!$C$9:$C$105,B39,'Master Requirements Tracker'!$F$9:$F$105,"Completed")</f>
        <v>0</v>
      </c>
      <c r="E39" s="18" t="n">
        <f aca="false">COUNTIFS('Master Requirements Tracker'!$C$9:$C$105,B39,'Master Requirements Tracker'!$F$9:$F$105,"In Progress")</f>
        <v>1</v>
      </c>
      <c r="F39" s="18" t="n">
        <f aca="false">COUNTIFS('Master Requirements Tracker'!$C$9:$C$105,B39,'Master Requirements Tracker'!$F$9:$F$105,"In Review")</f>
        <v>0</v>
      </c>
      <c r="G39" s="18" t="n">
        <f aca="false">COUNTIFS('Master Requirements Tracker'!$C$9:$C$105,B39,'Master Requirements Tracker'!$F$9:$F$105,"Planned")</f>
        <v>0</v>
      </c>
      <c r="H39" s="19" t="n">
        <f aca="false">IF(C39&gt;0,D39/C39,0)</f>
        <v>0</v>
      </c>
    </row>
    <row r="40" customFormat="false" ht="15" hidden="false" customHeight="false" outlineLevel="0" collapsed="false">
      <c r="B40" s="17" t="s">
        <v>538</v>
      </c>
      <c r="C40" s="18" t="n">
        <f aca="false">COUNTIF('Master Requirements Tracker'!$C$9:$C$105,B40)</f>
        <v>1</v>
      </c>
      <c r="D40" s="18" t="n">
        <f aca="false">COUNTIFS('Master Requirements Tracker'!$C$9:$C$105,B40,'Master Requirements Tracker'!$F$9:$F$105,"Completed")</f>
        <v>1</v>
      </c>
      <c r="E40" s="18" t="n">
        <f aca="false">COUNTIFS('Master Requirements Tracker'!$C$9:$C$105,B40,'Master Requirements Tracker'!$F$9:$F$105,"In Progress")</f>
        <v>0</v>
      </c>
      <c r="F40" s="18" t="n">
        <f aca="false">COUNTIFS('Master Requirements Tracker'!$C$9:$C$105,B40,'Master Requirements Tracker'!$F$9:$F$105,"In Review")</f>
        <v>0</v>
      </c>
      <c r="G40" s="18" t="n">
        <f aca="false">COUNTIFS('Master Requirements Tracker'!$C$9:$C$105,B40,'Master Requirements Tracker'!$F$9:$F$105,"Planned")</f>
        <v>0</v>
      </c>
      <c r="H40" s="19" t="n">
        <f aca="false">IF(C40&gt;0,D40/C40,0)</f>
        <v>1</v>
      </c>
    </row>
    <row r="41" customFormat="false" ht="15" hidden="false" customHeight="false" outlineLevel="0" collapsed="false">
      <c r="B41" s="20" t="s">
        <v>546</v>
      </c>
      <c r="C41" s="21" t="n">
        <f aca="false">SUM(C5:C40)</f>
        <v>97</v>
      </c>
      <c r="D41" s="21" t="n">
        <f aca="false">SUM(D5:D40)</f>
        <v>86</v>
      </c>
      <c r="E41" s="21" t="n">
        <f aca="false">SUM(E5:E40)</f>
        <v>7</v>
      </c>
      <c r="F41" s="21" t="n">
        <f aca="false">SUM(F5:F40)</f>
        <v>2</v>
      </c>
      <c r="G41" s="21" t="n">
        <f aca="false">SUM(G5:G40)</f>
        <v>2</v>
      </c>
      <c r="H41" s="22" t="n">
        <f aca="false">IF(C41&gt;0,D41/C41,0)</f>
        <v>0.88659793814433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.75"/>
    <col collapsed="false" customWidth="true" hidden="false" outlineLevel="0" max="2" min="2" style="0" width="26"/>
    <col collapsed="false" customWidth="true" hidden="false" outlineLevel="0" max="3" min="3" style="0" width="60"/>
    <col collapsed="false" customWidth="true" hidden="false" outlineLevel="0" max="4" min="4" style="0" width="44"/>
    <col collapsed="false" customWidth="true" hidden="false" outlineLevel="0" max="5" min="5" style="0" width="15"/>
  </cols>
  <sheetData>
    <row r="2" customFormat="false" ht="19.7" hidden="false" customHeight="false" outlineLevel="0" collapsed="false">
      <c r="B2" s="14" t="s">
        <v>548</v>
      </c>
    </row>
    <row r="4" customFormat="false" ht="15" hidden="false" customHeight="false" outlineLevel="0" collapsed="false">
      <c r="B4" s="23" t="s">
        <v>549</v>
      </c>
      <c r="C4" s="23" t="s">
        <v>550</v>
      </c>
      <c r="D4" s="23" t="s">
        <v>551</v>
      </c>
      <c r="E4" s="23" t="s">
        <v>18</v>
      </c>
    </row>
    <row r="5" customFormat="false" ht="30" hidden="false" customHeight="true" outlineLevel="0" collapsed="false">
      <c r="B5" s="24" t="s">
        <v>552</v>
      </c>
      <c r="C5" s="24" t="s">
        <v>553</v>
      </c>
      <c r="D5" s="24" t="s">
        <v>554</v>
      </c>
      <c r="E5" s="25" t="s">
        <v>314</v>
      </c>
    </row>
    <row r="6" customFormat="false" ht="30" hidden="false" customHeight="true" outlineLevel="0" collapsed="false">
      <c r="B6" s="24" t="s">
        <v>555</v>
      </c>
      <c r="C6" s="24" t="s">
        <v>556</v>
      </c>
      <c r="D6" s="24" t="s">
        <v>557</v>
      </c>
      <c r="E6" s="25" t="s">
        <v>242</v>
      </c>
    </row>
    <row r="7" customFormat="false" ht="30" hidden="false" customHeight="true" outlineLevel="0" collapsed="false">
      <c r="B7" s="24" t="s">
        <v>558</v>
      </c>
      <c r="C7" s="24" t="s">
        <v>559</v>
      </c>
      <c r="D7" s="24" t="s">
        <v>560</v>
      </c>
      <c r="E7" s="25" t="s">
        <v>69</v>
      </c>
    </row>
    <row r="8" customFormat="false" ht="30" hidden="false" customHeight="true" outlineLevel="0" collapsed="false">
      <c r="B8" s="24" t="s">
        <v>561</v>
      </c>
      <c r="C8" s="24" t="s">
        <v>562</v>
      </c>
      <c r="D8" s="24" t="s">
        <v>563</v>
      </c>
      <c r="E8" s="25" t="s">
        <v>69</v>
      </c>
    </row>
    <row r="9" customFormat="false" ht="30" hidden="false" customHeight="true" outlineLevel="0" collapsed="false">
      <c r="B9" s="24" t="s">
        <v>564</v>
      </c>
      <c r="C9" s="24" t="s">
        <v>565</v>
      </c>
      <c r="D9" s="24" t="s">
        <v>566</v>
      </c>
      <c r="E9" s="25" t="s">
        <v>69</v>
      </c>
    </row>
    <row r="10" customFormat="false" ht="30" hidden="false" customHeight="true" outlineLevel="0" collapsed="false">
      <c r="B10" s="24" t="s">
        <v>567</v>
      </c>
      <c r="C10" s="24" t="s">
        <v>568</v>
      </c>
      <c r="D10" s="24" t="s">
        <v>569</v>
      </c>
      <c r="E10" s="25" t="s">
        <v>69</v>
      </c>
    </row>
    <row r="11" customFormat="false" ht="30" hidden="false" customHeight="true" outlineLevel="0" collapsed="false">
      <c r="B11" s="24" t="s">
        <v>570</v>
      </c>
      <c r="C11" s="24" t="s">
        <v>571</v>
      </c>
      <c r="D11" s="24" t="s">
        <v>572</v>
      </c>
      <c r="E11" s="25" t="s">
        <v>69</v>
      </c>
    </row>
    <row r="12" customFormat="false" ht="30" hidden="false" customHeight="true" outlineLevel="0" collapsed="false">
      <c r="B12" s="24" t="s">
        <v>573</v>
      </c>
      <c r="C12" s="24" t="s">
        <v>574</v>
      </c>
      <c r="D12" s="24" t="s">
        <v>575</v>
      </c>
      <c r="E12" s="25" t="s">
        <v>69</v>
      </c>
    </row>
  </sheetData>
  <conditionalFormatting sqref="E5:E12">
    <cfRule type="cellIs" priority="2" operator="equal" aboveAverage="0" equalAverage="0" bottom="0" percent="0" rank="0" text="" dxfId="13">
      <formula>"Completed"</formula>
    </cfRule>
    <cfRule type="cellIs" priority="3" operator="equal" aboveAverage="0" equalAverage="0" bottom="0" percent="0" rank="0" text="" dxfId="14">
      <formula>"In Progress"</formula>
    </cfRule>
    <cfRule type="cellIs" priority="4" operator="equal" aboveAverage="0" equalAverage="0" bottom="0" percent="0" rank="0" text="" dxfId="15">
      <formula>"In Review"</formula>
    </cfRule>
    <cfRule type="cellIs" priority="5" operator="equal" aboveAverage="0" equalAverage="0" bottom="0" percent="0" rank="0" text="" dxfId="16">
      <formula>"Planned"</formula>
    </cfRule>
  </conditionalFormatting>
  <dataValidations count="1">
    <dataValidation allowBlank="false" errorStyle="stop" operator="between" showDropDown="false" showErrorMessage="false" showInputMessage="false" sqref="E5:E12" type="list">
      <formula1>"Completed,In Progress,In Review,Planned"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.75"/>
    <col collapsed="false" customWidth="true" hidden="false" outlineLevel="0" max="2" min="2" style="0" width="26"/>
    <col collapsed="false" customWidth="true" hidden="false" outlineLevel="0" max="3" min="3" style="0" width="95"/>
  </cols>
  <sheetData>
    <row r="2" customFormat="false" ht="19.7" hidden="false" customHeight="false" outlineLevel="0" collapsed="false">
      <c r="B2" s="14" t="s">
        <v>576</v>
      </c>
    </row>
    <row r="4" customFormat="false" ht="37.5" hidden="false" customHeight="true" outlineLevel="0" collapsed="false">
      <c r="B4" s="26" t="s">
        <v>577</v>
      </c>
      <c r="C4" s="27" t="s">
        <v>578</v>
      </c>
    </row>
    <row r="5" customFormat="false" ht="22.5" hidden="false" customHeight="true" outlineLevel="0" collapsed="false">
      <c r="B5" s="26" t="s">
        <v>28</v>
      </c>
      <c r="C5" s="27" t="s">
        <v>579</v>
      </c>
    </row>
    <row r="6" customFormat="false" ht="22.5" hidden="false" customHeight="true" outlineLevel="0" collapsed="false">
      <c r="B6" s="26" t="s">
        <v>242</v>
      </c>
      <c r="C6" s="27" t="s">
        <v>580</v>
      </c>
    </row>
    <row r="7" customFormat="false" ht="22.5" hidden="false" customHeight="true" outlineLevel="0" collapsed="false">
      <c r="B7" s="26" t="s">
        <v>314</v>
      </c>
      <c r="C7" s="27" t="s">
        <v>581</v>
      </c>
    </row>
    <row r="8" customFormat="false" ht="22.5" hidden="false" customHeight="true" outlineLevel="0" collapsed="false">
      <c r="B8" s="26" t="s">
        <v>69</v>
      </c>
      <c r="C8" s="27" t="s">
        <v>582</v>
      </c>
    </row>
    <row r="9" customFormat="false" ht="52.5" hidden="false" customHeight="true" outlineLevel="0" collapsed="false">
      <c r="B9" s="26" t="s">
        <v>20</v>
      </c>
      <c r="C9" s="27" t="s">
        <v>583</v>
      </c>
    </row>
    <row r="10" customFormat="false" ht="37.5" hidden="false" customHeight="true" outlineLevel="0" collapsed="false">
      <c r="B10" s="26" t="s">
        <v>21</v>
      </c>
      <c r="C10" s="27" t="s">
        <v>584</v>
      </c>
    </row>
    <row r="11" customFormat="false" ht="37.5" hidden="false" customHeight="true" outlineLevel="0" collapsed="false">
      <c r="B11" s="26" t="s">
        <v>585</v>
      </c>
      <c r="C11" s="27" t="s">
        <v>586</v>
      </c>
    </row>
    <row r="12" customFormat="false" ht="37.5" hidden="false" customHeight="true" outlineLevel="0" collapsed="false">
      <c r="B12" s="26" t="s">
        <v>587</v>
      </c>
      <c r="C12" s="27" t="s">
        <v>588</v>
      </c>
    </row>
    <row r="13" customFormat="false" ht="22.5" hidden="false" customHeight="true" outlineLevel="0" collapsed="false">
      <c r="B13" s="26" t="s">
        <v>589</v>
      </c>
      <c r="C13" s="27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2026-10-11T02:24:52Z</dcterms:created>
  <dc:creator>openpyxl</dc:creator>
  <dc:description/>
  <dc:language>en-US</dc:language>
  <cp:lastModifiedBy/>
  <dcterms:modified xsi:type="dcterms:W3CDTF">2026-10-11T02:24:52Z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