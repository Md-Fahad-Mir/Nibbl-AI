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ster Requirements Tracker" sheetId="1" state="visible" r:id="rId3"/>
    <sheet name="Summary by Section" sheetId="2" state="visible" r:id="rId4"/>
    <sheet name="Open Dependencies" sheetId="3" state="visible" r:id="rId5"/>
    <sheet name="How to Use" sheetId="4" state="visible" r:id="rId6"/>
  </sheets>
  <definedNames>
    <definedName function="false" hidden="false" localSheetId="0" name="_xlnm.Print_Titles" vbProcedure="false">'Master Requirements Tracker'!$8:$8</definedName>
    <definedName function="false" hidden="true" localSheetId="0" name="_xlnm._FilterDatabase" vbProcedure="false">'Master Requirements Tracker'!$B$8:$M$158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<sst xmlns="http://schemas.openxmlformats.org/spreadsheetml/2006/main" count="1561" uniqueCount="697">
  <si>
    <t xml:space="preserve">Nibbl AI — Master Requirements Tracker</t>
  </si>
  <si>
    <t xml:space="preserve">Mapped to the Master Document (Nibbl_Master_Requirements_Consistency_Final). Status as of 11 Oct 2026. One row per requirement. Completed = works end to end, tested and can be demonstrated; anything with a missing piece stays In Progress.</t>
  </si>
  <si>
    <t xml:space="preserve">TOTAL REQUIREMENTS</t>
  </si>
  <si>
    <t xml:space="preserve">COMPLETED</t>
  </si>
  <si>
    <t xml:space="preserve">IN PROGRESS</t>
  </si>
  <si>
    <t xml:space="preserve">IN REVIEW</t>
  </si>
  <si>
    <t xml:space="preserve">PLANNED</t>
  </si>
  <si>
    <t xml:space="preserve">COMPLETION RATE</t>
  </si>
  <si>
    <t xml:space="preserve">Master Document requirements</t>
  </si>
  <si>
    <t xml:space="preserve">Works end to end, tested, demoable</t>
  </si>
  <si>
    <t xml:space="preserve">Partly built — gap in Notes</t>
  </si>
  <si>
    <t xml:space="preserve">Waiting on a third party</t>
  </si>
  <si>
    <t xml:space="preserve">Not started yet</t>
  </si>
  <si>
    <t xml:space="preserve">Completed ÷ total</t>
  </si>
  <si>
    <t xml:space="preserve">#</t>
  </si>
  <si>
    <t xml:space="preserve">Master Document Section</t>
  </si>
  <si>
    <t xml:space="preserve">Master Requirement</t>
  </si>
  <si>
    <t xml:space="preserve">What Was Delivered</t>
  </si>
  <si>
    <t xml:space="preserve">Status</t>
  </si>
  <si>
    <t xml:space="preserve">Platform</t>
  </si>
  <si>
    <t xml:space="preserve">Mobile App</t>
  </si>
  <si>
    <t xml:space="preserve">Where to See It</t>
  </si>
  <si>
    <t xml:space="preserve">How to Test</t>
  </si>
  <si>
    <t xml:space="preserve">Open Items / Notes</t>
  </si>
  <si>
    <t xml:space="preserve">Evidence (screenshot / video link)</t>
  </si>
  <si>
    <t xml:space="preserve">Checklist Ref</t>
  </si>
  <si>
    <t xml:space="preserve">Brand Dashboard Home</t>
  </si>
  <si>
    <t xml:space="preserve">Brand name in header and welcome message</t>
  </si>
  <si>
    <t xml:space="preserve">Brand name from Brand Settings.</t>
  </si>
  <si>
    <t xml:space="preserve">Completed</t>
  </si>
  <si>
    <t xml:space="preserve">Brand Dashboard</t>
  </si>
  <si>
    <t xml:space="preserve">—</t>
  </si>
  <si>
    <t xml:space="preserve">Dashboard</t>
  </si>
  <si>
    <t xml:space="preserve">Log in as a brand; check the welcome line.</t>
  </si>
  <si>
    <t xml:space="preserve">#1</t>
  </si>
  <si>
    <t xml:space="preserve">Navigation includes Tag Generator and Plans</t>
  </si>
  <si>
    <t xml:space="preserve">Both in the sidebar.</t>
  </si>
  <si>
    <t xml:space="preserve">Sidebar</t>
  </si>
  <si>
    <t xml:space="preserve">Open both pages.</t>
  </si>
  <si>
    <t xml:space="preserve">#35, #37</t>
  </si>
  <si>
    <t xml:space="preserve">Current plan shown once, linked to Plans</t>
  </si>
  <si>
    <t xml:space="preserve">Plan name in the header opens Plans.</t>
  </si>
  <si>
    <t xml:space="preserve">Header → Plan</t>
  </si>
  <si>
    <t xml:space="preserve">Click the plan name.</t>
  </si>
  <si>
    <t xml:space="preserve">#35</t>
  </si>
  <si>
    <t xml:space="preserve">Available Funds in header, linked to Wallet</t>
  </si>
  <si>
    <t xml:space="preserve">Shows current Available Funds; opens Wallet.</t>
  </si>
  <si>
    <t xml:space="preserve">Header</t>
  </si>
  <si>
    <t xml:space="preserve">Click Available Funds.</t>
  </si>
  <si>
    <t xml:space="preserve">Date range — default Last 30 Days, selectable</t>
  </si>
  <si>
    <t xml:space="preserve">Snapshots and table use the last 30 days.</t>
  </si>
  <si>
    <t xml:space="preserve">In Progress</t>
  </si>
  <si>
    <t xml:space="preserve">Check the snapshot period.</t>
  </si>
  <si>
    <t xml:space="preserve">Date-range selector (other ranges) not built; fixed to 30 days.</t>
  </si>
  <si>
    <t xml:space="preserve">Rebate snapshot: claims, redemptions, redemption rate, Total Brand Cost + cost per redemption</t>
  </si>
  <si>
    <t xml:space="preserve">As specified, no mini charts/badges.</t>
  </si>
  <si>
    <t xml:space="preserve">Compare with Redemptions for 30 days.</t>
  </si>
  <si>
    <t xml:space="preserve">#1, #28</t>
  </si>
  <si>
    <t xml:space="preserve">Review snapshot: invitations, completed, completion rate, Total Brand Cost + cost per review</t>
  </si>
  <si>
    <t xml:space="preserve">As specified.</t>
  </si>
  <si>
    <t xml:space="preserve">Compare with Review Management.</t>
  </si>
  <si>
    <t xml:space="preserve">Campaign Performance table (incl. ended; type filter; spend; results)</t>
  </si>
  <si>
    <t xml:space="preserve">Rebate + review campaigns with results and type filter.</t>
  </si>
  <si>
    <t xml:space="preserve">Dashboard → Campaign Performance</t>
  </si>
  <si>
    <t xml:space="preserve">Filter by type; ended campaigns listed.</t>
  </si>
  <si>
    <t xml:space="preserve">Product Library</t>
  </si>
  <si>
    <t xml:space="preserve">Page controls: product count + Add Product</t>
  </si>
  <si>
    <t xml:space="preserve">Count and Add Product button.</t>
  </si>
  <si>
    <t xml:space="preserve">Open Product Library.</t>
  </si>
  <si>
    <t xml:space="preserve">#2</t>
  </si>
  <si>
    <t xml:space="preserve">Product cards: image, name/flavor/size, rating, category, Product ID, receipt alias count, Edit</t>
  </si>
  <si>
    <t xml:space="preserve">Cards with image, details, rating, Edit.</t>
  </si>
  <si>
    <t xml:space="preserve">Compare a card with the Master mockup.</t>
  </si>
  <si>
    <t xml:space="preserve">Alias count on the card to confirm against the mockup.</t>
  </si>
  <si>
    <t xml:space="preserve">Product identity: separate record per flavor/size with permanent Product ID</t>
  </si>
  <si>
    <t xml:space="preserve">Flavor, format, size fields; ID assigned on save.</t>
  </si>
  <si>
    <t xml:space="preserve">Brand Dashboard + Backend / API</t>
  </si>
  <si>
    <t xml:space="preserve">Add / Edit Product</t>
  </si>
  <si>
    <t xml:space="preserve">Create two sizes of one product.</t>
  </si>
  <si>
    <t xml:space="preserve">Separate Unit and Pack Count fields from the mockup aren't built (size is one field).</t>
  </si>
  <si>
    <t xml:space="preserve">Product description kept for AI review questions</t>
  </si>
  <si>
    <t xml:space="preserve">Description sent to the AI for review questions.</t>
  </si>
  <si>
    <t xml:space="preserve">Fill the description.</t>
  </si>
  <si>
    <t xml:space="preserve">#2, #24</t>
  </si>
  <si>
    <t xml:space="preserve">Standardized, admin-managed categories; brands can request a category</t>
  </si>
  <si>
    <t xml:space="preserve">Category is free text today.</t>
  </si>
  <si>
    <t xml:space="preserve">Planned</t>
  </si>
  <si>
    <t xml:space="preserve">Brand Dashboard + Admin Dashboard</t>
  </si>
  <si>
    <t xml:space="preserve">Admin category list + 'Request category' not built.</t>
  </si>
  <si>
    <t xml:space="preserve">Optional UPC / SKU</t>
  </si>
  <si>
    <t xml:space="preserve">SKU field stored.</t>
  </si>
  <si>
    <t xml:space="preserve">Enter a SKU and save.</t>
  </si>
  <si>
    <t xml:space="preserve">Receipt matching aliases: retailer + receipt text + optional item code</t>
  </si>
  <si>
    <t xml:space="preserve">Aliases (receipt text) added on the product or saved in manual review.</t>
  </si>
  <si>
    <t xml:space="preserve">Product → Aliases; Redemptions → review</t>
  </si>
  <si>
    <t xml:space="preserve">Add an alias and upload a matching receipt.</t>
  </si>
  <si>
    <t xml:space="preserve">Alias retailer and item code fields not built (text only).</t>
  </si>
  <si>
    <t xml:space="preserve">#2, #21</t>
  </si>
  <si>
    <t xml:space="preserve">Clickable rating opens Review Management filtered to the product</t>
  </si>
  <si>
    <t xml:space="preserve">Rating links to filtered Review Management.</t>
  </si>
  <si>
    <t xml:space="preserve">Product details → rating</t>
  </si>
  <si>
    <t xml:space="preserve">Click a product rating.</t>
  </si>
  <si>
    <t xml:space="preserve">#3</t>
  </si>
  <si>
    <t xml:space="preserve">Add Product: same single-page fields as Edit; ID assigned on save</t>
  </si>
  <si>
    <t xml:space="preserve">Same form for add and edit.</t>
  </si>
  <si>
    <t xml:space="preserve">Add Product</t>
  </si>
  <si>
    <t xml:space="preserve">Add a product.</t>
  </si>
  <si>
    <t xml:space="preserve">Delete Product: type DELETE; history preserved</t>
  </si>
  <si>
    <t xml:space="preserve">Confirmation + archive keeps reviews/redemptions.</t>
  </si>
  <si>
    <t xml:space="preserve">Edit Product → Delete</t>
  </si>
  <si>
    <t xml:space="preserve">Delete with and without typing DELETE.</t>
  </si>
  <si>
    <t xml:space="preserve">Rebate Campaigns List</t>
  </si>
  <si>
    <t xml:space="preserve">Status tabs with counts (Draft, Pending Review, Scheduled, Active, Paused, Changes Requested, Ended)</t>
  </si>
  <si>
    <t xml:space="preserve">Status tabs on the rebate list.</t>
  </si>
  <si>
    <t xml:space="preserve">Rebate Campaigns</t>
  </si>
  <si>
    <t xml:space="preserve">Switch tabs.</t>
  </si>
  <si>
    <t xml:space="preserve">#7</t>
  </si>
  <si>
    <t xml:space="preserve">'X of Y active campaigns used — Upgrade' banner</t>
  </si>
  <si>
    <t xml:space="preserve">Usage banner with upgrade link not built (the limit itself is enforced on activation).</t>
  </si>
  <si>
    <t xml:space="preserve">#34</t>
  </si>
  <si>
    <t xml:space="preserve">Campaign cards: image, claims, active claims, pending review, redemptions, rate, total spend, current cycle claims</t>
  </si>
  <si>
    <t xml:space="preserve">Cards with metrics and 'X of Y' current cycle.</t>
  </si>
  <si>
    <t xml:space="preserve">Compare a card with its detail page.</t>
  </si>
  <si>
    <t xml:space="preserve">#4, #7</t>
  </si>
  <si>
    <t xml:space="preserve">Create Rebate Campaign</t>
  </si>
  <si>
    <t xml:space="preserve">① Basics: internal name, start/end, campaign image</t>
  </si>
  <si>
    <t xml:space="preserve">Rebate → Create</t>
  </si>
  <si>
    <t xml:space="preserve">Create a draft.</t>
  </si>
  <si>
    <t xml:space="preserve">#5</t>
  </si>
  <si>
    <t xml:space="preserve">② Eligible products (search, select, same-category check)</t>
  </si>
  <si>
    <t xml:space="preserve">Product search and selection.</t>
  </si>
  <si>
    <t xml:space="preserve">Select 3 products.</t>
  </si>
  <si>
    <t xml:space="preserve">③ Offer setup: Free / BOGO Free / Buy 1 Get 1 50% / Buy X Get $Y</t>
  </si>
  <si>
    <t xml:space="preserve">All four with locked reward math.</t>
  </si>
  <si>
    <t xml:space="preserve">Create one of each.</t>
  </si>
  <si>
    <t xml:space="preserve">④ Offer details &amp; shopper wording (suggested, editable, 100/250 limits) + locked system rules</t>
  </si>
  <si>
    <t xml:space="preserve">Suggested wording + locked rules summary.</t>
  </si>
  <si>
    <t xml:space="preserve">Edit the headline.</t>
  </si>
  <si>
    <t xml:space="preserve">⑤ Retailer availability, Request/Add Retailer, up to 3 Featured</t>
  </si>
  <si>
    <t xml:space="preserve">Directory, add retailer, featured.</t>
  </si>
  <si>
    <t xml:space="preserve">Add a retailer; pick featured.</t>
  </si>
  <si>
    <t xml:space="preserve">#10</t>
  </si>
  <si>
    <t xml:space="preserve">⑥ Receipt eligibility: Any Retailer / Retailer Required</t>
  </si>
  <si>
    <t xml:space="preserve">Enforced on receipts; saved on claim.</t>
  </si>
  <si>
    <t xml:space="preserve">Set Retailer Required; upload another store's receipt.</t>
  </si>
  <si>
    <t xml:space="preserve">⑦ 25-Hour Claim Capacity (desired ÷ rate)</t>
  </si>
  <si>
    <t xml:space="preserve">Live calculation; cycles from activation.</t>
  </si>
  <si>
    <t xml:space="preserve">Check the calculated capacity.</t>
  </si>
  <si>
    <t xml:space="preserve">#4</t>
  </si>
  <si>
    <t xml:space="preserve">⑧ Customer cooldown (none / 30 / 60 / 90 / one time)</t>
  </si>
  <si>
    <t xml:space="preserve">Campaign-specific cooldown from approved redemption.</t>
  </si>
  <si>
    <t xml:space="preserve">Redeem, then try to claim again.</t>
  </si>
  <si>
    <t xml:space="preserve">#8, #12</t>
  </si>
  <si>
    <t xml:space="preserve">Discovery geography (Nationwide / States / ZIP + radius)</t>
  </si>
  <si>
    <t xml:space="preserve">All three, multiple areas.</t>
  </si>
  <si>
    <t xml:space="preserve">Set ZIP radius; test from outside it.</t>
  </si>
  <si>
    <t xml:space="preserve">#13</t>
  </si>
  <si>
    <t xml:space="preserve">Meta Pixel tracking on/off (validated Pixel ID only)</t>
  </si>
  <si>
    <t xml:space="preserve">Per-campaign switch; Pixel from Settings.</t>
  </si>
  <si>
    <t xml:space="preserve">Brand Dashboard + Shopper Website</t>
  </si>
  <si>
    <t xml:space="preserve">Campaign page</t>
  </si>
  <si>
    <t xml:space="preserve">Turn tracking on.</t>
  </si>
  <si>
    <t xml:space="preserve">Pixel validation is a format check.</t>
  </si>
  <si>
    <t xml:space="preserve">#11</t>
  </si>
  <si>
    <t xml:space="preserve">Live shopper preview (same data as published offer)</t>
  </si>
  <si>
    <t xml:space="preserve">Live preview in builder.</t>
  </si>
  <si>
    <t xml:space="preserve">Edit and watch the preview.</t>
  </si>
  <si>
    <t xml:space="preserve">Save Draft / Submit for Nibbl Review; revisions keep approved version live</t>
  </si>
  <si>
    <t xml:space="preserve">Full approval workflow.</t>
  </si>
  <si>
    <t xml:space="preserve">Campaign page; Admin → Approvals</t>
  </si>
  <si>
    <t xml:space="preserve">Submit, request changes, approve.</t>
  </si>
  <si>
    <t xml:space="preserve">#7, #44</t>
  </si>
  <si>
    <t xml:space="preserve">Existing reservation rule snapshot</t>
  </si>
  <si>
    <t xml:space="preserve">Each claim keeps its terms.</t>
  </si>
  <si>
    <t xml:space="preserve">Backend / API</t>
  </si>
  <si>
    <t xml:space="preserve">Backend</t>
  </si>
  <si>
    <t xml:space="preserve">Edit a live campaign; old claim unchanged.</t>
  </si>
  <si>
    <t xml:space="preserve">#8</t>
  </si>
  <si>
    <t xml:space="preserve">Offer Type Inputs &amp; Shopper Output</t>
  </si>
  <si>
    <t xml:space="preserve">Reward math per offer type, net eligible price, rounding; shopper output sources</t>
  </si>
  <si>
    <t xml:space="preserve">Backend / API + Shopper Website</t>
  </si>
  <si>
    <t xml:space="preserve">Website → offer page</t>
  </si>
  <si>
    <t xml:space="preserve">Compare offer page with campaign.</t>
  </si>
  <si>
    <t xml:space="preserve">Campaign Detail Page</t>
  </si>
  <si>
    <t xml:space="preserve">① Status · ② Summary + Preview Offer · ④ Performance · ⑤ Current cycle · ⑥ Review activity · ⑦ Actions</t>
  </si>
  <si>
    <t xml:space="preserve">All sections.</t>
  </si>
  <si>
    <t xml:space="preserve">Rebate → View Details</t>
  </si>
  <si>
    <t xml:space="preserve">Open a campaign.</t>
  </si>
  <si>
    <t xml:space="preserve">③ Assets: URL, QR, Open Preview, Download QR (PNG + high-res), 'don't distribute until approved'</t>
  </si>
  <si>
    <t xml:space="preserve">URL, QR and download.</t>
  </si>
  <si>
    <t xml:space="preserve">Campaign page → Assets</t>
  </si>
  <si>
    <t xml:space="preserve">Download the QR.</t>
  </si>
  <si>
    <t xml:space="preserve">#15</t>
  </si>
  <si>
    <t xml:space="preserve">Effect on Existing Reservations</t>
  </si>
  <si>
    <t xml:space="preserve">Campaign goes live; limit reached → Temporarily Unavailable; expired claims never restore capacity</t>
  </si>
  <si>
    <t xml:space="preserve">Fill capacity; claim shows unavailable.</t>
  </si>
  <si>
    <t xml:space="preserve">Reserved reward funding (reserve max, pay actual, return difference)</t>
  </si>
  <si>
    <t xml:space="preserve">Wallet → Reserved Funds</t>
  </si>
  <si>
    <t xml:space="preserve">Claim and redeem; check the ledger.</t>
  </si>
  <si>
    <t xml:space="preserve">#9</t>
  </si>
  <si>
    <t xml:space="preserve">Only Nibbl admin may cancel an existing reservation, with a reason</t>
  </si>
  <si>
    <t xml:space="preserve">Admin Dashboard + Backend / API</t>
  </si>
  <si>
    <t xml:space="preserve">Admin reservation cancel with reason + audit not built.</t>
  </si>
  <si>
    <t xml:space="preserve">Discovery</t>
  </si>
  <si>
    <t xml:space="preserve">Location before discovery (allow location or ZIP; never unfiltered; don't re-ask)</t>
  </si>
  <si>
    <t xml:space="preserve">Location gate, saved.</t>
  </si>
  <si>
    <t xml:space="preserve">Shopper Website + Backend / API</t>
  </si>
  <si>
    <t xml:space="preserve">API ready — app developer to build/confirm</t>
  </si>
  <si>
    <t xml:space="preserve">Website → home</t>
  </si>
  <si>
    <t xml:space="preserve">Open signed out.</t>
  </si>
  <si>
    <t xml:space="preserve">Geographic eligibility gate</t>
  </si>
  <si>
    <t xml:space="preserve">Only eligible campaigns shown.</t>
  </si>
  <si>
    <t xml:space="preserve">Website → For You</t>
  </si>
  <si>
    <t xml:space="preserve">Change ZIP.</t>
  </si>
  <si>
    <t xml:space="preserve">Ranking: Base CVR × Store Match × Brand Interest (admin values)</t>
  </si>
  <si>
    <t xml:space="preserve">Backend / API + Admin Dashboard</t>
  </si>
  <si>
    <t xml:space="preserve">Admin → Settings</t>
  </si>
  <si>
    <t xml:space="preserve">Change a multiplier.</t>
  </si>
  <si>
    <t xml:space="preserve">#14</t>
  </si>
  <si>
    <t xml:space="preserve">Campaign cards on For You (not product cards), category tabs, up to 24 per category</t>
  </si>
  <si>
    <t xml:space="preserve">Campaign cards with category tabs.</t>
  </si>
  <si>
    <t xml:space="preserve">Browse a category.</t>
  </si>
  <si>
    <t xml:space="preserve">24-per-category cap and 'N eligible products' line to confirm.</t>
  </si>
  <si>
    <t xml:space="preserve">Retailer match = ranking boost; Any Retailer / Retailer Required verification (eligible / unclear → manual / ineligible)</t>
  </si>
  <si>
    <t xml:space="preserve">Upload receipts from different stores.</t>
  </si>
  <si>
    <t xml:space="preserve">#10, #19</t>
  </si>
  <si>
    <t xml:space="preserve">Direct entry: QR / Meta ad / URL bypasses geography only</t>
  </si>
  <si>
    <t xml:space="preserve">Campaign URL</t>
  </si>
  <si>
    <t xml:space="preserve">Open in a private window.</t>
  </si>
  <si>
    <t xml:space="preserve">Campaign-level suppression (never brand-wide)</t>
  </si>
  <si>
    <t xml:space="preserve">Claim one campaign of a brand.</t>
  </si>
  <si>
    <t xml:space="preserve">#16</t>
  </si>
  <si>
    <t xml:space="preserve">Shopper Rebate Flow</t>
  </si>
  <si>
    <t xml:space="preserve">Campaign details: products + ratings, Where to Buy, receipt eligibility, max rebate, offer eligibility, Going fast, share, save, Claim</t>
  </si>
  <si>
    <t xml:space="preserve">Offer page with all items.</t>
  </si>
  <si>
    <t xml:space="preserve">Shopper Website</t>
  </si>
  <si>
    <t xml:space="preserve">Website → offer</t>
  </si>
  <si>
    <t xml:space="preserve">Open an offer; share and save.</t>
  </si>
  <si>
    <t xml:space="preserve">#5, #10</t>
  </si>
  <si>
    <t xml:space="preserve">Reserve Offer: prefill email/phone (collect if logged out), two required consents</t>
  </si>
  <si>
    <t xml:space="preserve">Both consents required.</t>
  </si>
  <si>
    <t xml:space="preserve">Website → offer → Claim</t>
  </si>
  <si>
    <t xml:space="preserve">Claim without consents → pop-up.</t>
  </si>
  <si>
    <t xml:space="preserve">Logged-out shoppers must sign in first (Master allows collecting email/phone on this step).</t>
  </si>
  <si>
    <t xml:space="preserve">#17</t>
  </si>
  <si>
    <t xml:space="preserve">Confirm Reservation screen: slot X of 5, exact deadline, Confirm &amp; Reserve (slot consumed only here)</t>
  </si>
  <si>
    <t xml:space="preserve">Claim reserves directly after the consent step.</t>
  </si>
  <si>
    <t xml:space="preserve">Claim an offer.</t>
  </si>
  <si>
    <t xml:space="preserve">Separate confirmation screen showing slot use + exact deadline before reserving not built on the website.</t>
  </si>
  <si>
    <t xml:space="preserve">#18</t>
  </si>
  <si>
    <t xml:space="preserve">Reservation eligibility checked before a claim slot is consumed</t>
  </si>
  <si>
    <t xml:space="preserve">All checks (consent, slots, already claimed, cooldown, dates, capacity, funds) run before the slot is used.</t>
  </si>
  <si>
    <t xml:space="preserve">Covered by automated tests.</t>
  </si>
  <si>
    <t xml:space="preserve">#17, #18</t>
  </si>
  <si>
    <t xml:space="preserve">Active claim slots (5) — occupied until approval, final rejection or expiry</t>
  </si>
  <si>
    <t xml:space="preserve">Website → My Rewards</t>
  </si>
  <si>
    <t xml:space="preserve">Claim to the limit.</t>
  </si>
  <si>
    <t xml:space="preserve">Return Action Prompt: carousel, Submit Receipt + time left, Save for Later, My Offers badge</t>
  </si>
  <si>
    <t xml:space="preserve">Website → home; header badge</t>
  </si>
  <si>
    <t xml:space="preserve">Claim, then return home.</t>
  </si>
  <si>
    <t xml:space="preserve">Rebate restriction pop-ups (10)</t>
  </si>
  <si>
    <t xml:space="preserve">All with own code; consent, slots, claimed, cooldown, one-time, not started, paused, capacity, funds; retailer shown on offer.</t>
  </si>
  <si>
    <t xml:space="preserve">Trigger each case.</t>
  </si>
  <si>
    <t xml:space="preserve">Align titles/buttons exactly with the Master pop-up mockup (e.g. 'Review &amp; Accept', 'N days remaining', 'View Eligible Retailers').</t>
  </si>
  <si>
    <t xml:space="preserve">Receipt Submission</t>
  </si>
  <si>
    <t xml:space="preserve">Submit inside the active campaign: requirements list, take/choose photo, review before submit, submitted state</t>
  </si>
  <si>
    <t xml:space="preserve">Upload from My Rewards.</t>
  </si>
  <si>
    <t xml:space="preserve">Website → My Rewards → Upload</t>
  </si>
  <si>
    <t xml:space="preserve">Upload a receipt.</t>
  </si>
  <si>
    <t xml:space="preserve">Receipt requirements screen, review-before-submit and 'Receipt submitted' state not built on the website.</t>
  </si>
  <si>
    <t xml:space="preserve">#19</t>
  </si>
  <si>
    <t xml:space="preserve">Receipt Validation &amp; Routing</t>
  </si>
  <si>
    <t xml:space="preserve">Capture date/time, retailer, transaction no., item, qty, net price, tax, total; clear date/retailer fail → reject; uncertain → manual; unreadable → new photo</t>
  </si>
  <si>
    <t xml:space="preserve">Upload clear / unclear / wrong-date receipts.</t>
  </si>
  <si>
    <t xml:space="preserve">OCR = AI service.</t>
  </si>
  <si>
    <t xml:space="preserve">#19, #21</t>
  </si>
  <si>
    <t xml:space="preserve">Duplicate receipt + quantity allocation</t>
  </si>
  <si>
    <t xml:space="preserve">Upload the same receipt twice.</t>
  </si>
  <si>
    <t xml:space="preserve">Receipt Outcomes</t>
  </si>
  <si>
    <t xml:space="preserve">One resubmission before the original deadline (deadline never restarts)</t>
  </si>
  <si>
    <t xml:space="preserve">Resubmission after a first date/retailer rejection not built.</t>
  </si>
  <si>
    <t xml:space="preserve">Outcome messages: accepted, manual review, unreadable, date, retailer, final rejection</t>
  </si>
  <si>
    <t xml:space="preserve">Status + reason shown in receipt history.</t>
  </si>
  <si>
    <t xml:space="preserve">Check each outcome.</t>
  </si>
  <si>
    <t xml:space="preserve">Dedicated outcome screens per the mockup not built.</t>
  </si>
  <si>
    <t xml:space="preserve">Notifications &amp; Reminders</t>
  </si>
  <si>
    <t xml:space="preserve">Receipt reminders 48h and 12h before the exact deadline</t>
  </si>
  <si>
    <t xml:space="preserve">Shopper notifications</t>
  </si>
  <si>
    <t xml:space="preserve">Scheduled job sends both reminders.</t>
  </si>
  <si>
    <t xml:space="preserve">#20</t>
  </si>
  <si>
    <t xml:space="preserve">Reservation confirmation, receipt submitted, approval/rejection (in-app + email), claim expiration</t>
  </si>
  <si>
    <t xml:space="preserve">These shopper notifications aren't sent yet.</t>
  </si>
  <si>
    <t xml:space="preserve">Push notification delivery (FCM / APNs)</t>
  </si>
  <si>
    <t xml:space="preserve">Push is a placeholder today.</t>
  </si>
  <si>
    <t xml:space="preserve">In Review</t>
  </si>
  <si>
    <t xml:space="preserve">Waiting on client Firebase Workload Identity setup (EC2 role sent).</t>
  </si>
  <si>
    <t xml:space="preserve">Brand Manual Review</t>
  </si>
  <si>
    <t xml:space="preserve">① Claim &amp; customer (email visible on every plan) · ② Full receipt viewer (zoom/rotate/download) · ③ Locked requirements</t>
  </si>
  <si>
    <t xml:space="preserve">Redemptions → Review</t>
  </si>
  <si>
    <t xml:space="preserve">Open a pending receipt.</t>
  </si>
  <si>
    <t xml:space="preserve">#21</t>
  </si>
  <si>
    <t xml:space="preserve">④ Select line · ⑤ Confirm mapping + corrections (audit) · ⑥ Optional alias · ⑦ Calculated reward, rejection reasons, internal note</t>
  </si>
  <si>
    <t xml:space="preserve">Approve with alias; reject with reason.</t>
  </si>
  <si>
    <t xml:space="preserve">Brand Redemptions Page</t>
  </si>
  <si>
    <t xml:space="preserve">① Summary (pending, approved, rejected, total paid) · ② Status tabs · ⑤ Priority queue</t>
  </si>
  <si>
    <t xml:space="preserve">Redemptions</t>
  </si>
  <si>
    <t xml:space="preserve">#21, #22</t>
  </si>
  <si>
    <t xml:space="preserve">③ Search &amp; filters (campaign, product, status, submitted date)</t>
  </si>
  <si>
    <t xml:space="preserve">Search and status tabs.</t>
  </si>
  <si>
    <t xml:space="preserve">Search by customer.</t>
  </si>
  <si>
    <t xml:space="preserve">Campaign / product / date filters not built.</t>
  </si>
  <si>
    <t xml:space="preserve">⑥ Pagination &amp; Export CSV</t>
  </si>
  <si>
    <t xml:space="preserve">Redemptions → Export CSV</t>
  </si>
  <si>
    <t xml:space="preserve">Export.</t>
  </si>
  <si>
    <t xml:space="preserve">Seven-day automatic approval (max reward, labelled, no alias, slot released)</t>
  </si>
  <si>
    <t xml:space="preserve">Check countdown.</t>
  </si>
  <si>
    <t xml:space="preserve">#22</t>
  </si>
  <si>
    <t xml:space="preserve">Review Management</t>
  </si>
  <si>
    <t xml:space="preserve">KPIs: total, pending 1–3★ response, average rating, review spend, cost per review</t>
  </si>
  <si>
    <t xml:space="preserve">Total, awaiting response, average rating.</t>
  </si>
  <si>
    <t xml:space="preserve">Reviews → Review Management</t>
  </si>
  <si>
    <t xml:space="preserve">Open the page.</t>
  </si>
  <si>
    <t xml:space="preserve">Review Spend and Cost per Review tiles not on this page.</t>
  </si>
  <si>
    <t xml:space="preserve">#26</t>
  </si>
  <si>
    <t xml:space="preserve">Tabs (All, Published, 7-Day Hold, Flagged, Removed) + date range</t>
  </si>
  <si>
    <t xml:space="preserve">Filters: rating, retailer, product, region</t>
  </si>
  <si>
    <t xml:space="preserve">Rating, product, dates.</t>
  </si>
  <si>
    <t xml:space="preserve">Filter by rating.</t>
  </si>
  <si>
    <t xml:space="preserve">Retailer and region filters not built.</t>
  </si>
  <si>
    <t xml:space="preserve">Review details: answers, final text, receipt evidence + gating summary, customer contact for service recovery</t>
  </si>
  <si>
    <t xml:space="preserve">Answers, text, receipt, email.</t>
  </si>
  <si>
    <t xml:space="preserve">Review Management → review</t>
  </si>
  <si>
    <t xml:space="preserve">Open a review.</t>
  </si>
  <si>
    <t xml:space="preserve">Gating summary not shown; Starter plans must see the email only for negative-review service recovery (masked).</t>
  </si>
  <si>
    <t xml:space="preserve">#26, #33</t>
  </si>
  <si>
    <t xml:space="preserve">Low-rating response: countdown, Contact Customer, Add Brand Response, Flag for Removal</t>
  </si>
  <si>
    <t xml:space="preserve">Public response + flag; held 7 days.</t>
  </si>
  <si>
    <t xml:space="preserve">Respond to a 2★ review.</t>
  </si>
  <si>
    <t xml:space="preserve">Countdown and 'Contact Customer' button not built.</t>
  </si>
  <si>
    <t xml:space="preserve">Flag reasons per Master (wrong product, unrelated, spam/fraud, PII, profanity, prohibited claim, other) + audit</t>
  </si>
  <si>
    <t xml:space="preserve">Flag with reason; admin decides.</t>
  </si>
  <si>
    <t xml:space="preserve">Review Management → Flag</t>
  </si>
  <si>
    <t xml:space="preserve">Flag a review.</t>
  </si>
  <si>
    <t xml:space="preserve">Reason list differs from the Master — align.</t>
  </si>
  <si>
    <t xml:space="preserve">Export: Download CSV + Download Reviews; API integration Coming Soon</t>
  </si>
  <si>
    <t xml:space="preserve">CSV export with disclosure.</t>
  </si>
  <si>
    <t xml:space="preserve">Review Management → Export</t>
  </si>
  <si>
    <t xml:space="preserve">Export CSV.</t>
  </si>
  <si>
    <t xml:space="preserve">'Download Reviews' format and API Coming Soon card not built.</t>
  </si>
  <si>
    <t xml:space="preserve">Create Review Campaign</t>
  </si>
  <si>
    <t xml:space="preserve">Basics (required image), eligible products, controls, locked rules &amp; cost</t>
  </si>
  <si>
    <t xml:space="preserve">Reviews → Create</t>
  </si>
  <si>
    <t xml:space="preserve">Create a review campaign.</t>
  </si>
  <si>
    <t xml:space="preserve">#23</t>
  </si>
  <si>
    <t xml:space="preserve">Brand question pool: add, suggest, Test Review Chat</t>
  </si>
  <si>
    <t xml:space="preserve">Add + suggest.</t>
  </si>
  <si>
    <t xml:space="preserve">Review campaign page</t>
  </si>
  <si>
    <t xml:space="preserve">Add and suggest questions.</t>
  </si>
  <si>
    <t xml:space="preserve">'Test Review Chat' not built.</t>
  </si>
  <si>
    <t xml:space="preserve">Save Draft / Submit for Nibbl Review (published after review)</t>
  </si>
  <si>
    <t xml:space="preserve">Brands activate review campaigns directly.</t>
  </si>
  <si>
    <t xml:space="preserve">Nibbl approval for review campaigns not built.</t>
  </si>
  <si>
    <t xml:space="preserve">Live shopper preview (mobile)</t>
  </si>
  <si>
    <t xml:space="preserve">Not built.</t>
  </si>
  <si>
    <t xml:space="preserve">Shopper Review Opportunity</t>
  </si>
  <si>
    <t xml:space="preserve">My Offers: Review Rewards card (Claim $1, Save for Later)</t>
  </si>
  <si>
    <t xml:space="preserve">Review cards in the carousel and My Rewards.</t>
  </si>
  <si>
    <t xml:space="preserve">Get a receipt verified.</t>
  </si>
  <si>
    <t xml:space="preserve">Product Confirmed · Multiple Matches · Missing Consent · Share Your Voice</t>
  </si>
  <si>
    <t xml:space="preserve">These screens aren't built on the website (chat opens directly).</t>
  </si>
  <si>
    <t xml:space="preserve">Developer rules: scan all lines, 0/1/many opportunities, cooldown per shopper+product, $1 reserve, no second verification</t>
  </si>
  <si>
    <t xml:space="preserve">#25</t>
  </si>
  <si>
    <t xml:space="preserve">AI Chat Review</t>
  </si>
  <si>
    <t xml:space="preserve">Product context loaded; rotating brand question; generated title &amp; review; edit; regenerate; final approval; $1 at any rating</t>
  </si>
  <si>
    <t xml:space="preserve">Website → review chat</t>
  </si>
  <si>
    <t xml:space="preserve">Complete a review.</t>
  </si>
  <si>
    <t xml:space="preserve">#24</t>
  </si>
  <si>
    <t xml:space="preserve">Five adaptive product questions with suggested answer chips</t>
  </si>
  <si>
    <t xml:space="preserve">Fixed AI questions today.</t>
  </si>
  <si>
    <t xml:space="preserve">Adaptive questions wait on the AI service endpoint; suggested-answer chips not built.</t>
  </si>
  <si>
    <t xml:space="preserve">Separate 'recommend' and 'purchase again' questions; title 100 / body 500 limits</t>
  </si>
  <si>
    <t xml:space="preserve">One combined recommend question.</t>
  </si>
  <si>
    <t xml:space="preserve">Split recommend vs repurchase; enforce 100/500 character limits.</t>
  </si>
  <si>
    <t xml:space="preserve">Ratings &amp; Reviews Display</t>
  </si>
  <si>
    <t xml:space="preserve">Ratings per product in campaign details; all reviews with sorting; review details + brand response; helpful</t>
  </si>
  <si>
    <t xml:space="preserve">Website → offer → reviews</t>
  </si>
  <si>
    <t xml:space="preserve">Sort and mark helpful.</t>
  </si>
  <si>
    <t xml:space="preserve">#27</t>
  </si>
  <si>
    <t xml:space="preserve">Reviews overview: rating, breakdown, % recommend, % would buy again, AI summary (positives + improvement)</t>
  </si>
  <si>
    <t xml:space="preserve">Rating, breakdown, % recommend.</t>
  </si>
  <si>
    <t xml:space="preserve">Open an offer with reviews.</t>
  </si>
  <si>
    <t xml:space="preserve">'% would buy again' not built; AI summary waits on the AI service.</t>
  </si>
  <si>
    <t xml:space="preserve">Brand Analytics</t>
  </si>
  <si>
    <t xml:space="preserve">Cost &amp; Results · Customer &amp; Conversion · Campaign Performance (25-hour cycles)</t>
  </si>
  <si>
    <t xml:space="preserve">Analytics</t>
  </si>
  <si>
    <t xml:space="preserve">Compare cost with the ledger.</t>
  </si>
  <si>
    <t xml:space="preserve">#28</t>
  </si>
  <si>
    <t xml:space="preserve">Customers</t>
  </si>
  <si>
    <t xml:space="preserve">Summary, search &amp; filters, download opted-in, integrations Coming Soon, consent withdrawal rule</t>
  </si>
  <si>
    <t xml:space="preserve">Filter and download.</t>
  </si>
  <si>
    <t xml:space="preserve">#29</t>
  </si>
  <si>
    <t xml:space="preserve">Table: brand activity, site activity, open claims, cooldowns, last active, status</t>
  </si>
  <si>
    <t xml:space="preserve">Customer table.</t>
  </si>
  <si>
    <t xml:space="preserve">Open Customers.</t>
  </si>
  <si>
    <t xml:space="preserve">Site-activity and cooldown columns to match the mockup.</t>
  </si>
  <si>
    <t xml:space="preserve">Customer Profile</t>
  </si>
  <si>
    <t xml:space="preserve">Header (opt-in badges, status) + Ban Customer with reason</t>
  </si>
  <si>
    <t xml:space="preserve">Suspend from brand exists.</t>
  </si>
  <si>
    <t xml:space="preserve">Customers → profile</t>
  </si>
  <si>
    <t xml:space="preserve">Suspend a customer.</t>
  </si>
  <si>
    <t xml:space="preserve">Profile header/ban dialog per mockup.</t>
  </si>
  <si>
    <t xml:space="preserve">#46</t>
  </si>
  <si>
    <t xml:space="preserve">Relationship with brand · Nibbl activity totals · Recent activity</t>
  </si>
  <si>
    <t xml:space="preserve">Older profile layout.</t>
  </si>
  <si>
    <t xml:space="preserve">Open a profile.</t>
  </si>
  <si>
    <t xml:space="preserve">Rebuild to the Master layout.</t>
  </si>
  <si>
    <t xml:space="preserve">Open claims · Cooldowns with Remove (confirmation + audit)</t>
  </si>
  <si>
    <t xml:space="preserve">Redemption history: full receipt 30 days, then matching line only</t>
  </si>
  <si>
    <t xml:space="preserve">Receipt retention / cleanup rule not built.</t>
  </si>
  <si>
    <t xml:space="preserve">Brand Wallet</t>
  </si>
  <si>
    <t xml:space="preserve">Balances: Available, Reserved, Promotional (definitions)</t>
  </si>
  <si>
    <t xml:space="preserve">Wallet</t>
  </si>
  <si>
    <t xml:space="preserve">Check balances.</t>
  </si>
  <si>
    <t xml:space="preserve">#30</t>
  </si>
  <si>
    <t xml:space="preserve">Campaign Funding: 7-day need vs Available, funded status, reservations split</t>
  </si>
  <si>
    <t xml:space="preserve">Wallet → Campaign Funding</t>
  </si>
  <si>
    <t xml:space="preserve">Activate a campaign.</t>
  </si>
  <si>
    <t xml:space="preserve">Automatic refill (Stripe): trigger 25%, fixed amount, recommendation, failure alert</t>
  </si>
  <si>
    <t xml:space="preserve">Wallet → Auto-refill</t>
  </si>
  <si>
    <t xml:space="preserve">Enable auto-refill.</t>
  </si>
  <si>
    <t xml:space="preserve">Production still on Stripe test keys — switch to the live keys received from the client, then retest.</t>
  </si>
  <si>
    <t xml:space="preserve">#31</t>
  </si>
  <si>
    <t xml:space="preserve">Spending Overview + Weekly Statements + detailed ledger</t>
  </si>
  <si>
    <t xml:space="preserve">Download a statement.</t>
  </si>
  <si>
    <t xml:space="preserve">#32</t>
  </si>
  <si>
    <t xml:space="preserve">Request Refund (Available Cash refundable; reserved/promo not)</t>
  </si>
  <si>
    <t xml:space="preserve">Refund request flow not built.</t>
  </si>
  <si>
    <t xml:space="preserve">Plans</t>
  </si>
  <si>
    <t xml:space="preserve">Current plan, recommendation, plan options, scheduled changes, downgrade campaign choice</t>
  </si>
  <si>
    <t xml:space="preserve">Schedule and cancel a change.</t>
  </si>
  <si>
    <t xml:space="preserve">#33, #35</t>
  </si>
  <si>
    <t xml:space="preserve">Feature comparison table</t>
  </si>
  <si>
    <t xml:space="preserve">Plan cards list features.</t>
  </si>
  <si>
    <t xml:space="preserve">Open Plans.</t>
  </si>
  <si>
    <t xml:space="preserve">Side-by-side comparison table not built.</t>
  </si>
  <si>
    <t xml:space="preserve">Plan entitlement enforcement (campaign limits, customer identity, CSV, review cost)</t>
  </si>
  <si>
    <t xml:space="preserve">Limits, data access and fees enforced.</t>
  </si>
  <si>
    <t xml:space="preserve">Covered by tests.</t>
  </si>
  <si>
    <t xml:space="preserve">Starter: customer email should appear only for negative-review service recovery (Review Management shows it on all plans).</t>
  </si>
  <si>
    <t xml:space="preserve">#33, #34</t>
  </si>
  <si>
    <t xml:space="preserve">Settings</t>
  </si>
  <si>
    <t xml:space="preserve">Brand Profile (name, website, support email, time zone)</t>
  </si>
  <si>
    <t xml:space="preserve">Settings → Brand Profile</t>
  </si>
  <si>
    <t xml:space="preserve">Change time zone.</t>
  </si>
  <si>
    <t xml:space="preserve">#36</t>
  </si>
  <si>
    <t xml:space="preserve">Team &amp; Permissions (Owner / Admin / Viewer)</t>
  </si>
  <si>
    <t xml:space="preserve">Settings → Team</t>
  </si>
  <si>
    <t xml:space="preserve">Invite a Viewer.</t>
  </si>
  <si>
    <t xml:space="preserve">Notifications per member (Email + SMS): wallet below 25%, auto-refill failed, campaign paused, exhausted early, new negative review, weekly summary</t>
  </si>
  <si>
    <t xml:space="preserve">Per-member toggles for campaign approvals, receipts to review, low-rating reviews, refill failed.</t>
  </si>
  <si>
    <t xml:space="preserve">Settings → Notifications</t>
  </si>
  <si>
    <t xml:space="preserve">Toggle and trigger.</t>
  </si>
  <si>
    <t xml:space="preserve">Align the list with the Master (add wallet below 25%, campaign paused, exhausted early, weekly summary). SMS sending waits on Klaviyo.</t>
  </si>
  <si>
    <t xml:space="preserve">Tracking &amp; Attribution (Meta Pixel; Google/TikTok Coming Soon)</t>
  </si>
  <si>
    <t xml:space="preserve">Settings → Tracking</t>
  </si>
  <si>
    <t xml:space="preserve">Save a Pixel ID.</t>
  </si>
  <si>
    <t xml:space="preserve">Security: passwordless sign-in, active sessions, last sign-in, sign out others</t>
  </si>
  <si>
    <t xml:space="preserve">Sessions + sign out others + last sign-in.</t>
  </si>
  <si>
    <t xml:space="preserve">Settings → Security</t>
  </si>
  <si>
    <t xml:space="preserve">Sign out another device.</t>
  </si>
  <si>
    <t xml:space="preserve">Passwordless (magic-link) sign-in not built — brands use a password.</t>
  </si>
  <si>
    <t xml:space="preserve">Account &amp; Support (Contact Nibbl Support, Owner-only closure, Klaviyo Coming Soon — Scale)</t>
  </si>
  <si>
    <t xml:space="preserve">Log in as Owner.</t>
  </si>
  <si>
    <t xml:space="preserve">Tag Generator</t>
  </si>
  <si>
    <t xml:space="preserve">Static Coming Soon page (example artwork)</t>
  </si>
  <si>
    <t xml:space="preserve">#37</t>
  </si>
  <si>
    <t xml:space="preserve">Brand Onboarding</t>
  </si>
  <si>
    <t xml:space="preserve">Role gate (I'm a Brand / I'm a Shopper)</t>
  </si>
  <si>
    <t xml:space="preserve">#38</t>
  </si>
  <si>
    <t xml:space="preserve">Public brand homepage + How it works / Reviews / Controls / Plans</t>
  </si>
  <si>
    <t xml:space="preserve">Brand landing page.</t>
  </si>
  <si>
    <t xml:space="preserve">Brand site</t>
  </si>
  <si>
    <t xml:space="preserve">Open the landing page.</t>
  </si>
  <si>
    <t xml:space="preserve">Align sections and plan cards with the Master mockups.</t>
  </si>
  <si>
    <t xml:space="preserve">Plan → Create Account (contact, work email, phone, company, website, category, terms)</t>
  </si>
  <si>
    <t xml:space="preserve">Plan picker + registration.</t>
  </si>
  <si>
    <t xml:space="preserve">Brand site → Register</t>
  </si>
  <si>
    <t xml:space="preserve">Register.</t>
  </si>
  <si>
    <t xml:space="preserve">Passwordless magic-link sign-in (link expires in 15 minutes)</t>
  </si>
  <si>
    <t xml:space="preserve">Secure one-time verification link (24 h) + password.</t>
  </si>
  <si>
    <t xml:space="preserve">Register → email</t>
  </si>
  <si>
    <t xml:space="preserve">Open the emailed link.</t>
  </si>
  <si>
    <t xml:space="preserve">Master uses magic-link sign-in without a password, 15-minute link.</t>
  </si>
  <si>
    <t xml:space="preserve">Secure checkout: card required even when credits cover today; card saved for renewals; promo code</t>
  </si>
  <si>
    <t xml:space="preserve">Card payment + promo code; activates on payment.</t>
  </si>
  <si>
    <t xml:space="preserve">After sign-up → Checkout</t>
  </si>
  <si>
    <t xml:space="preserve">Pay with a test card.</t>
  </si>
  <si>
    <t xml:space="preserve">Card must be required even at $0 due and saved for renewals. Retest on Stripe live keys.</t>
  </si>
  <si>
    <t xml:space="preserve">Account Activated page + First Dashboard (3 growth goals, 5 steps)</t>
  </si>
  <si>
    <t xml:space="preserve">Get-ready checklist with 2 goals.</t>
  </si>
  <si>
    <t xml:space="preserve">Finish checkout.</t>
  </si>
  <si>
    <t xml:space="preserve">Add the activation page and the 3rd goal (Reconnect &amp; Build Loyalty).</t>
  </si>
  <si>
    <t xml:space="preserve">Wallet funding required before launch (7-day need + auto-replenishment)</t>
  </si>
  <si>
    <t xml:space="preserve">Launch gate not built.</t>
  </si>
  <si>
    <t xml:space="preserve">Shopper Wallet</t>
  </si>
  <si>
    <t xml:space="preserve">Wallet overview: available, pending approval, payout method</t>
  </si>
  <si>
    <t xml:space="preserve">Website → Wallet</t>
  </si>
  <si>
    <t xml:space="preserve">#39</t>
  </si>
  <si>
    <t xml:space="preserve">Wallet activity with filters (rebates, reviews, referrals, withdrawals) + statuses</t>
  </si>
  <si>
    <t xml:space="preserve">Activity list.</t>
  </si>
  <si>
    <t xml:space="preserve">Open activity.</t>
  </si>
  <si>
    <t xml:space="preserve">Filter tabs not built.</t>
  </si>
  <si>
    <t xml:space="preserve">Reward details (timeline: submitted → under review → available)</t>
  </si>
  <si>
    <t xml:space="preserve">Not built on the website.</t>
  </si>
  <si>
    <t xml:space="preserve">Payout methods: one PayPal/Venmo identity per account; locked; change via request</t>
  </si>
  <si>
    <t xml:space="preserve">Add a payout method.</t>
  </si>
  <si>
    <t xml:space="preserve">#41</t>
  </si>
  <si>
    <t xml:space="preserve">Secure Withdrawal Flow</t>
  </si>
  <si>
    <t xml:space="preserve">Amount → locked method → SMS code → confirm (checkbox) → requested status tracker</t>
  </si>
  <si>
    <t xml:space="preserve">Amount, method, SMS code, submit.</t>
  </si>
  <si>
    <t xml:space="preserve">Website → Wallet → Withdraw</t>
  </si>
  <si>
    <t xml:space="preserve">Withdraw a small amount.</t>
  </si>
  <si>
    <t xml:space="preserve">Twilio approved — retest SMS. Confirm-step checkbox and Requested/Processing/Paid tracker not built.</t>
  </si>
  <si>
    <t xml:space="preserve">'Additional review needed' popup; status stays Processing</t>
  </si>
  <si>
    <t xml:space="preserve">Review routing in Admin.</t>
  </si>
  <si>
    <t xml:space="preserve">Trigger a review rule.</t>
  </si>
  <si>
    <t xml:space="preserve">Shopper popup not built.</t>
  </si>
  <si>
    <t xml:space="preserve">Withdrawal failed / rejected balance handling</t>
  </si>
  <si>
    <t xml:space="preserve">Rejected returns the amount (hold released).</t>
  </si>
  <si>
    <t xml:space="preserve">Reject a withdrawal.</t>
  </si>
  <si>
    <t xml:space="preserve">Failed (retryable vs permanent) handling waits on PayPal results import.</t>
  </si>
  <si>
    <t xml:space="preserve">#43</t>
  </si>
  <si>
    <t xml:space="preserve">Refer a Friend</t>
  </si>
  <si>
    <t xml:space="preserve">Referral home, share link, share a product deal</t>
  </si>
  <si>
    <t xml:space="preserve">Website invite card + Share this deal.</t>
  </si>
  <si>
    <t xml:space="preserve">Copy the link.</t>
  </si>
  <si>
    <t xml:space="preserve">Master link format is joinnibbl.com/r/CODE (we use ?ref=).</t>
  </si>
  <si>
    <t xml:space="preserve">#40</t>
  </si>
  <si>
    <t xml:space="preserve">Qualification: join, claim, approved redemption, payout method, withdrawal — within 90 days</t>
  </si>
  <si>
    <t xml:space="preserve">5-step qualification + review.</t>
  </si>
  <si>
    <t xml:space="preserve">90-day completion window / expiry not built.</t>
  </si>
  <si>
    <t xml:space="preserve">Referral progress (earned, pending, invited; step X of 4; expires in N days; not eligible) + rules sheet</t>
  </si>
  <si>
    <t xml:space="preserve">Per-friend 5-step progress.</t>
  </si>
  <si>
    <t xml:space="preserve">Check a referral.</t>
  </si>
  <si>
    <t xml:space="preserve">Totals, expiry countdown, 'not eligible' and rules sheet per mockup.</t>
  </si>
  <si>
    <t xml:space="preserve">Shopper Restriction Messages</t>
  </si>
  <si>
    <t xml:space="preserve">Duplicate payout account (Request Review) · payout-method change</t>
  </si>
  <si>
    <t xml:space="preserve">Add a duplicate PayPal.</t>
  </si>
  <si>
    <t xml:space="preserve">Shopper Account</t>
  </si>
  <si>
    <t xml:space="preserve">Passwordless access to My Offers, Wallet and Profile</t>
  </si>
  <si>
    <t xml:space="preserve">Shoppers sign in with a password.</t>
  </si>
  <si>
    <t xml:space="preserve">Passwordless shopper sign-in not built.</t>
  </si>
  <si>
    <t xml:space="preserve">Profile &amp; account security: verified phone locked; change via admin with re-verification; history</t>
  </si>
  <si>
    <t xml:space="preserve">Phone verify + admin reset.</t>
  </si>
  <si>
    <t xml:space="preserve">Website → Profile</t>
  </si>
  <si>
    <t xml:space="preserve">Verify a phone.</t>
  </si>
  <si>
    <t xml:space="preserve">Lock verified phone from self-service change; keep change history (client Twilio rules). Retest with approved Twilio.</t>
  </si>
  <si>
    <t xml:space="preserve">Admin — Dashboard</t>
  </si>
  <si>
    <t xml:space="preserve">Revenue cards, Needs Attention, Brand Revenue (category/status filter, lowest first), brand-funded rewards</t>
  </si>
  <si>
    <t xml:space="preserve">As specified except category.</t>
  </si>
  <si>
    <t xml:space="preserve">Admin Dashboard</t>
  </si>
  <si>
    <t xml:space="preserve">Admin → Dashboard</t>
  </si>
  <si>
    <t xml:space="preserve">Change date range.</t>
  </si>
  <si>
    <t xml:space="preserve">Brand category filter (brands have no category); failed payouts wait on results import.</t>
  </si>
  <si>
    <t xml:space="preserve">#42</t>
  </si>
  <si>
    <t xml:space="preserve">Admin — Withdrawals</t>
  </si>
  <si>
    <t xml:space="preserve">Tabs: Ready for Batch, Manual Review, Processing, Completed, Failed; batch summary (PayPal fees)</t>
  </si>
  <si>
    <t xml:space="preserve">Batches, approve/reject, manual review.</t>
  </si>
  <si>
    <t xml:space="preserve">Admin → Withdraw Request / Payout Reviews</t>
  </si>
  <si>
    <t xml:space="preserve">Create a batch.</t>
  </si>
  <si>
    <t xml:space="preserve">Tab set and batch-cost summary per mockup; no Failed tab.</t>
  </si>
  <si>
    <t xml:space="preserve">Create batch, download PayPal file</t>
  </si>
  <si>
    <t xml:space="preserve">Admin → Withdraw Request</t>
  </si>
  <si>
    <t xml:space="preserve">Download a batch file.</t>
  </si>
  <si>
    <t xml:space="preserve">Import PayPal results (Paid / Failed, partial success, idempotent, match by Withdrawal ID)</t>
  </si>
  <si>
    <t xml:space="preserve">Manual review: flag reason + history; approve / reject with customer-facing reason; audit</t>
  </si>
  <si>
    <t xml:space="preserve">Admin → Payout Reviews</t>
  </si>
  <si>
    <t xml:space="preserve">Approve a flagged request.</t>
  </si>
  <si>
    <t xml:space="preserve">#43, #51</t>
  </si>
  <si>
    <t xml:space="preserve">Admin — Brands</t>
  </si>
  <si>
    <t xml:space="preserve">KPIs, brand table (category, Nibbl revenue, funds, payment status, activity), filters, sort</t>
  </si>
  <si>
    <t xml:space="preserve">Brand list.</t>
  </si>
  <si>
    <t xml:space="preserve">Admin → Brand</t>
  </si>
  <si>
    <t xml:space="preserve">Open Brands.</t>
  </si>
  <si>
    <t xml:space="preserve">Revenue / payment-status columns and KPIs per mockup.</t>
  </si>
  <si>
    <t xml:space="preserve">#45</t>
  </si>
  <si>
    <t xml:space="preserve">Admin brand access mode ('viewing as Nibbl', every action logged) + brand summary + actions</t>
  </si>
  <si>
    <t xml:space="preserve">Promo credit, suspend.</t>
  </si>
  <si>
    <t xml:space="preserve">Open a brand.</t>
  </si>
  <si>
    <t xml:space="preserve">Open-brand-dashboard superuser mode not built.</t>
  </si>
  <si>
    <t xml:space="preserve">#45, #46</t>
  </si>
  <si>
    <t xml:space="preserve">Admin — Campaign Approvals</t>
  </si>
  <si>
    <t xml:space="preserve">Queue, new vs revisions, review, approve / reject / request changes</t>
  </si>
  <si>
    <t xml:space="preserve">Admin → Campaign Approvals</t>
  </si>
  <si>
    <t xml:space="preserve">Approve a campaign.</t>
  </si>
  <si>
    <t xml:space="preserve">#44</t>
  </si>
  <si>
    <t xml:space="preserve">Admin — Promo Codes</t>
  </si>
  <si>
    <t xml:space="preserve">Summary, create code, add brand credit, table (applies to, dates, usage)</t>
  </si>
  <si>
    <t xml:space="preserve">Admin → Promo Codes</t>
  </si>
  <si>
    <t xml:space="preserve">Create a code.</t>
  </si>
  <si>
    <t xml:space="preserve">Admin — Shoppers</t>
  </si>
  <si>
    <t xml:space="preserve">List (status, wallet, redemptions, referrals, brand suspensions, last activity)</t>
  </si>
  <si>
    <t xml:space="preserve">Users list.</t>
  </si>
  <si>
    <t xml:space="preserve">Admin → Users</t>
  </si>
  <si>
    <t xml:space="preserve">Open Users.</t>
  </si>
  <si>
    <t xml:space="preserve">Columns per mockup.</t>
  </si>
  <si>
    <t xml:space="preserve">Detail tabs (overview, wallet ledger, claims &amp; reviews, referrals, suspensions), purchase activity, cooldowns, adjust wallet, internal note, global suspend</t>
  </si>
  <si>
    <t xml:space="preserve">Details, wallet credit with reason, suspend, linked accounts.</t>
  </si>
  <si>
    <t xml:space="preserve">Admin → Users → user</t>
  </si>
  <si>
    <t xml:space="preserve">Open a shopper.</t>
  </si>
  <si>
    <t xml:space="preserve">Tabs, purchase activity, cooldowns and internal notes not built.</t>
  </si>
  <si>
    <t xml:space="preserve">#46, #51</t>
  </si>
  <si>
    <t xml:space="preserve">Admin — Suspensions</t>
  </si>
  <si>
    <t xml:space="preserve">Summary, list, review (remove brand suspension, global suspend), repeated-suspension alert</t>
  </si>
  <si>
    <t xml:space="preserve">Brand suspensions + alert exist.</t>
  </si>
  <si>
    <t xml:space="preserve">Dedicated Suspensions page not built.</t>
  </si>
  <si>
    <t xml:space="preserve">Admin — Referrals</t>
  </si>
  <si>
    <t xml:space="preserve">Summary, filters, details, flag review (approve / reject / suspend)</t>
  </si>
  <si>
    <t xml:space="preserve">Admin → Referrals</t>
  </si>
  <si>
    <t xml:space="preserve">Open the Flagged tab.</t>
  </si>
  <si>
    <t xml:space="preserve">#47</t>
  </si>
  <si>
    <t xml:space="preserve">Admin — Revenue Analytics</t>
  </si>
  <si>
    <t xml:space="preserve">Sources, promo credits used, refunds, processing costs, net revenue, trend chart, brand contribution + export</t>
  </si>
  <si>
    <t xml:space="preserve">Sources, credits, trend table, brand revenue.</t>
  </si>
  <si>
    <t xml:space="preserve">Check revenue.</t>
  </si>
  <si>
    <t xml:space="preserve">Refunds / processing costs not recorded; chart and export per mockup.</t>
  </si>
  <si>
    <t xml:space="preserve">#49</t>
  </si>
  <si>
    <t xml:space="preserve">Admin — Receipt Brand Discovery</t>
  </si>
  <si>
    <t xml:space="preserve">Summary, filters, leads, brand insight, export</t>
  </si>
  <si>
    <t xml:space="preserve">Admin → Brand Discovery</t>
  </si>
  <si>
    <t xml:space="preserve">Open a lead.</t>
  </si>
  <si>
    <t xml:space="preserve">Brand detected from receipt text.</t>
  </si>
  <si>
    <t xml:space="preserve">#48</t>
  </si>
  <si>
    <t xml:space="preserve">Admin — Settings</t>
  </si>
  <si>
    <t xml:space="preserve">Withdrawal review rules · Discovery ranking · device/network limits</t>
  </si>
  <si>
    <t xml:space="preserve">Change a threshold.</t>
  </si>
  <si>
    <t xml:space="preserve">#50, #51</t>
  </si>
  <si>
    <t xml:space="preserve">Referral flag rules: duplicate payout identity, same device, self-referral, unusual referral volume</t>
  </si>
  <si>
    <t xml:space="preserve">Same device, same network, fraud signals.</t>
  </si>
  <si>
    <t xml:space="preserve">Toggle rules.</t>
  </si>
  <si>
    <t xml:space="preserve">Align rule set with the Master list.</t>
  </si>
  <si>
    <t xml:space="preserve">Admin Users (staff roles) + View Audit Log</t>
  </si>
  <si>
    <t xml:space="preserve">#50</t>
  </si>
  <si>
    <t xml:space="preserve">Cross-cutting</t>
  </si>
  <si>
    <t xml:space="preserve">Fraud &amp; abuse: duplicates, velocity, device / IP / browser checks</t>
  </si>
  <si>
    <t xml:space="preserve">Create 3 accounts on one browser.</t>
  </si>
  <si>
    <t xml:space="preserve">App must send X-Device-Id.</t>
  </si>
  <si>
    <t xml:space="preserve">#51</t>
  </si>
  <si>
    <t xml:space="preserve">Receipt retention / cleanup (full receipt 30 days, then matching line only)</t>
  </si>
  <si>
    <t xml:space="preserve">System email via AWS SES with bounce / complaint handling</t>
  </si>
  <si>
    <t xml:space="preserve">Email sent via Gmail SMTP today.</t>
  </si>
  <si>
    <t xml:space="preserve">Switch to SES (client set it up).</t>
  </si>
  <si>
    <t xml:space="preserve">Progress by Master Document Section</t>
  </si>
  <si>
    <t xml:space="preserve">Total</t>
  </si>
  <si>
    <t xml:space="preserve">Completion</t>
  </si>
  <si>
    <t xml:space="preserve">Open Dependencies (outside the development team)</t>
  </si>
  <si>
    <t xml:space="preserve">Owner</t>
  </si>
  <si>
    <t xml:space="preserve">What's Needed</t>
  </si>
  <si>
    <t xml:space="preserve">Current State</t>
  </si>
  <si>
    <t xml:space="preserve">Our team — Stripe</t>
  </si>
  <si>
    <t xml:space="preserve">Switch production to the live Stripe keys the client sent; retest checkout, top-up and auto-refill</t>
  </si>
  <si>
    <t xml:space="preserve">Client moved Stripe to live production (live keys + webhook secret received)</t>
  </si>
  <si>
    <t xml:space="preserve">Our team — Twilio</t>
  </si>
  <si>
    <t xml:space="preserve">Retest SMS-verified withdrawals; lock verified phones (change via admin + history)</t>
  </si>
  <si>
    <t xml:space="preserve">Client: Twilio approved and ready for retesting</t>
  </si>
  <si>
    <t xml:space="preserve">Client — DNS</t>
  </si>
  <si>
    <t xml:space="preserve">Cloudflare access for www / brand / admin so the web apps can go live</t>
  </si>
  <si>
    <t xml:space="preserve">Invite requested for syedriajul9624@gmail.com</t>
  </si>
  <si>
    <t xml:space="preserve">AI service (Sakibur)</t>
  </si>
  <si>
    <t xml:space="preserve">Adaptive review questions + AI review summary endpoints</t>
  </si>
  <si>
    <t xml:space="preserve">docs/AI_REVIEW_ENDPOINTS_SPEC.md shared</t>
  </si>
  <si>
    <t xml:space="preserve">Mobile app developer</t>
  </si>
  <si>
    <t xml:space="preserve">App screens for shopper flows; required consents; X-Device-Id; referral progress</t>
  </si>
  <si>
    <t xml:space="preserve">Consumer API handover doc updated</t>
  </si>
  <si>
    <t xml:space="preserve">Client — AWS SES</t>
  </si>
  <si>
    <t xml:space="preserve">System email from @joinnibbl.com + bounce/complaint handling</t>
  </si>
  <si>
    <t xml:space="preserve">SES in sandbox until AWS approval</t>
  </si>
  <si>
    <t xml:space="preserve">Client — Firebase</t>
  </si>
  <si>
    <t xml:space="preserve">Push via Workload Identity Federation (EC2 role sent)</t>
  </si>
  <si>
    <t xml:space="preserve">Waiting on client setup</t>
  </si>
  <si>
    <t xml:space="preserve">Client — Klaviyo</t>
  </si>
  <si>
    <t xml:space="preserve">Brand + system SMS</t>
  </si>
  <si>
    <t xml:space="preserve">Not integrated yet</t>
  </si>
  <si>
    <t xml:space="preserve">How to Use This Tracker</t>
  </si>
  <si>
    <t xml:space="preserve">Rows</t>
  </si>
  <si>
    <t xml:space="preserve">One row per requirement, in the Master Document's order, including the requirements shown only in the Master's screenshots. The Master stays the final source of truth. 'Checklist Ref' links to our internal 51-item checklist.</t>
  </si>
  <si>
    <t xml:space="preserve">The full requirement works as intended, has been tested end to end and can be demonstrated. If any required sub-feature is missing, the row stays In Progress.</t>
  </si>
  <si>
    <t xml:space="preserve">Partly built. 'Open Items / Notes' says exactly what is still missing.</t>
  </si>
  <si>
    <t xml:space="preserve">Our part is ready; waiting on a third party (e.g. the AI service endpoint or the client's Firebase setup).</t>
  </si>
  <si>
    <t xml:space="preserve">Not built yet.</t>
  </si>
  <si>
    <t xml:space="preserve">Screen path in the app. Brand Dashboard = brand.joinnibbl.com, Admin = admin.joinnibbl.com, Shopper Website = www.joinnibbl.com once the web apps are deployed (waiting on DNS); until then they run as a testable build against the live API.</t>
  </si>
  <si>
    <t xml:space="preserve">Short steps to see the requirement working. Use test accounts. Production still runs Stripe in test mode (card 4242 4242 4242 4242) until we switch to the live keys — see Open Dependencies.</t>
  </si>
  <si>
    <t xml:space="preserve">Evidence</t>
  </si>
  <si>
    <t xml:space="preserve">Yellow cells — paste a screenshot or screen-recording link (e.g. Loom / Google Drive) for each row as it's demonstrated.</t>
  </si>
  <si>
    <t xml:space="preserve">Shopper rows show 'API ready — app developer to build/confirm': the backend is done and documented; the app developer builds the screen in the mobile app. '—' means not an app screen.</t>
  </si>
  <si>
    <t xml:space="preserve">Status column</t>
  </si>
  <si>
    <t xml:space="preserve">Pick from the dropdown; the totals at the top and the 'Summary by Section' sheet update automatically.</t>
  </si>
</sst>
</file>

<file path=xl/styles.xml><?xml version="1.0" encoding="utf-8"?>
<styleSheet xmlns="http://schemas.openxmlformats.org/spreadsheetml/2006/main">
  <numFmts count="4">
    <numFmt numFmtId="164" formatCode="General"/>
    <numFmt numFmtId="165" formatCode="General"/>
    <numFmt numFmtId="166" formatCode="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8"/>
      <color rgb="FF1A365D"/>
      <name val="Roboto"/>
      <family val="0"/>
      <charset val="1"/>
    </font>
    <font>
      <i val="true"/>
      <sz val="9"/>
      <color rgb="FF66727F"/>
      <name val="Roboto"/>
      <family val="0"/>
      <charset val="1"/>
    </font>
    <font>
      <b val="true"/>
      <sz val="9"/>
      <color rgb="FF465469"/>
      <name val="Roboto"/>
      <family val="0"/>
      <charset val="1"/>
    </font>
    <font>
      <i val="true"/>
      <sz val="8"/>
      <color rgb="FF66727F"/>
      <name val="Roboto"/>
      <family val="0"/>
      <charset val="1"/>
    </font>
    <font>
      <b val="true"/>
      <sz val="10"/>
      <color rgb="FFFFFFFF"/>
      <name val="Roboto"/>
      <family val="0"/>
      <charset val="1"/>
    </font>
    <font>
      <sz val="10"/>
      <color rgb="FF1E293A"/>
      <name val="Roboto"/>
      <family val="0"/>
      <charset val="1"/>
    </font>
    <font>
      <b val="true"/>
      <sz val="10"/>
      <color rgb="FF1E293A"/>
      <name val="Roboto"/>
      <family val="0"/>
      <charset val="1"/>
    </font>
    <font>
      <b val="true"/>
      <sz val="16"/>
      <color rgb="FF1A365D"/>
      <name val="Roboto"/>
      <family val="0"/>
      <charset val="1"/>
    </font>
    <font>
      <b val="true"/>
      <sz val="10"/>
      <color rgb="FF1A365D"/>
      <name val="Roboto"/>
      <family val="0"/>
      <charset val="1"/>
    </font>
  </fonts>
  <fills count="6">
    <fill>
      <patternFill patternType="none"/>
    </fill>
    <fill>
      <patternFill patternType="gray125"/>
    </fill>
    <fill>
      <patternFill patternType="solid">
        <fgColor rgb="FFEEF3F8"/>
        <bgColor rgb="FFF1F3F5"/>
      </patternFill>
    </fill>
    <fill>
      <patternFill patternType="solid">
        <fgColor rgb="FFF6F8FB"/>
        <bgColor rgb="FFF1F3F5"/>
      </patternFill>
    </fill>
    <fill>
      <patternFill patternType="solid">
        <fgColor rgb="FF1A365D"/>
        <bgColor rgb="FF1E293A"/>
      </patternFill>
    </fill>
    <fill>
      <patternFill patternType="solid">
        <fgColor rgb="FFFFFBEA"/>
        <bgColor rgb="FFFFF4E0"/>
      </patternFill>
    </fill>
  </fills>
  <borders count="10">
    <border diagonalUp="false" diagonalDown="false">
      <left/>
      <right/>
      <top/>
      <bottom/>
      <diagonal/>
    </border>
    <border diagonalUp="false" diagonalDown="false">
      <left style="thin">
        <color rgb="FFBFCCD8"/>
      </left>
      <right style="thin">
        <color rgb="FFBFCCD8"/>
      </right>
      <top style="thin">
        <color rgb="FFBFCCD8"/>
      </top>
      <bottom style="thin">
        <color rgb="FFE1E8EF"/>
      </bottom>
      <diagonal/>
    </border>
    <border diagonalUp="false" diagonalDown="false">
      <left style="thin">
        <color rgb="FFBFCCD8"/>
      </left>
      <right style="thin">
        <color rgb="FFBFCCD8"/>
      </right>
      <top style="thin">
        <color rgb="FFE1E8EF"/>
      </top>
      <bottom style="thin">
        <color rgb="FFE1E8EF"/>
      </bottom>
      <diagonal/>
    </border>
    <border diagonalUp="false" diagonalDown="false">
      <left style="thin">
        <color rgb="FFBFCCD8"/>
      </left>
      <right style="thin">
        <color rgb="FFBFCCD8"/>
      </right>
      <top style="thin">
        <color rgb="FFE1E8EF"/>
      </top>
      <bottom style="thin">
        <color rgb="FFBFCCD8"/>
      </bottom>
      <diagonal/>
    </border>
    <border diagonalUp="false" diagonalDown="false">
      <left/>
      <right/>
      <top style="thin">
        <color rgb="FF1A365D"/>
      </top>
      <bottom style="thin">
        <color rgb="FFE1E8EF"/>
      </bottom>
      <diagonal/>
    </border>
    <border diagonalUp="false" diagonalDown="false">
      <left style="thin">
        <color rgb="FFBFCCD8"/>
      </left>
      <right/>
      <top style="thin">
        <color rgb="FFE1E8EF"/>
      </top>
      <bottom style="thin">
        <color rgb="FFE1E8EF"/>
      </bottom>
      <diagonal/>
    </border>
    <border diagonalUp="false" diagonalDown="false">
      <left/>
      <right/>
      <top style="thin">
        <color rgb="FFE1E8EF"/>
      </top>
      <bottom style="thin">
        <color rgb="FFE1E8EF"/>
      </bottom>
      <diagonal/>
    </border>
    <border diagonalUp="false" diagonalDown="false">
      <left/>
      <right style="thin">
        <color rgb="FFBFCCD8"/>
      </right>
      <top style="thin">
        <color rgb="FFE1E8EF"/>
      </top>
      <bottom style="thin">
        <color rgb="FFE1E8EF"/>
      </bottom>
      <diagonal/>
    </border>
    <border diagonalUp="false" diagonalDown="false">
      <left/>
      <right/>
      <top/>
      <bottom style="thin">
        <color rgb="FFE1E8EF"/>
      </bottom>
      <diagonal/>
    </border>
    <border diagonalUp="false" diagonalDown="false">
      <left/>
      <right/>
      <top style="thin">
        <color rgb="FF1A365D"/>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5" fontId="4" fillId="3" borderId="2" xfId="0" applyFont="true" applyBorder="true" applyAlignment="true" applyProtection="false">
      <alignment horizontal="center" vertical="center" textRotation="0" wrapText="true" indent="0" shrinkToFit="false"/>
      <protection locked="true" hidden="false"/>
    </xf>
    <xf numFmtId="166" fontId="4" fillId="3" borderId="2" xfId="0" applyFont="true" applyBorder="true" applyAlignment="true" applyProtection="false">
      <alignment horizontal="center" vertical="center" textRotation="0" wrapText="true" indent="0" shrinkToFit="false"/>
      <protection locked="true" hidden="false"/>
    </xf>
    <xf numFmtId="164" fontId="7" fillId="3" borderId="3" xfId="0" applyFont="true" applyBorder="true" applyAlignment="true" applyProtection="false">
      <alignment horizontal="center" vertical="center" textRotation="0" wrapText="true" indent="0" shrinkToFit="false"/>
      <protection locked="true" hidden="false"/>
    </xf>
    <xf numFmtId="164" fontId="8" fillId="4" borderId="4" xfId="0" applyFont="true" applyBorder="true" applyAlignment="true" applyProtection="false">
      <alignment horizontal="center" vertical="center" textRotation="0" wrapText="true" indent="0" shrinkToFit="false"/>
      <protection locked="true" hidden="false"/>
    </xf>
    <xf numFmtId="164" fontId="8" fillId="4" borderId="4" xfId="0" applyFont="true" applyBorder="true" applyAlignment="true" applyProtection="false">
      <alignment horizontal="left" vertical="center" textRotation="0" wrapText="true" indent="0" shrinkToFit="false"/>
      <protection locked="true" hidden="false"/>
    </xf>
    <xf numFmtId="164" fontId="9" fillId="0" borderId="5" xfId="0" applyFont="true" applyBorder="true" applyAlignment="true" applyProtection="false">
      <alignment horizontal="center" vertical="center" textRotation="0" wrapText="true" indent="0" shrinkToFit="false"/>
      <protection locked="true" hidden="false"/>
    </xf>
    <xf numFmtId="164" fontId="9" fillId="0" borderId="6" xfId="0" applyFont="true" applyBorder="true" applyAlignment="true" applyProtection="false">
      <alignment horizontal="left" vertical="center" textRotation="0" wrapText="true" indent="0" shrinkToFit="false"/>
      <protection locked="true" hidden="false"/>
    </xf>
    <xf numFmtId="164" fontId="10" fillId="0" borderId="6" xfId="0" applyFont="true" applyBorder="true" applyAlignment="true" applyProtection="false">
      <alignment horizontal="center" vertical="center" textRotation="0" wrapText="true" indent="0" shrinkToFit="false"/>
      <protection locked="true" hidden="false"/>
    </xf>
    <xf numFmtId="164" fontId="9" fillId="5" borderId="6" xfId="0" applyFont="true" applyBorder="true" applyAlignment="true" applyProtection="false">
      <alignment horizontal="left" vertical="center" textRotation="0" wrapText="true" indent="0" shrinkToFit="false"/>
      <protection locked="true" hidden="false"/>
    </xf>
    <xf numFmtId="164" fontId="9" fillId="0" borderId="7"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left" vertical="center" textRotation="0" wrapText="false" indent="0" shrinkToFit="false"/>
      <protection locked="true" hidden="false"/>
    </xf>
    <xf numFmtId="164" fontId="8" fillId="4" borderId="0" xfId="0" applyFont="true" applyBorder="false" applyAlignment="true" applyProtection="false">
      <alignment horizontal="center"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false" indent="0" shrinkToFit="false"/>
      <protection locked="true" hidden="false"/>
    </xf>
    <xf numFmtId="165" fontId="9" fillId="0" borderId="8" xfId="0" applyFont="true" applyBorder="true" applyAlignment="true" applyProtection="false">
      <alignment horizontal="center" vertical="center" textRotation="0" wrapText="false" indent="0" shrinkToFit="false"/>
      <protection locked="true" hidden="false"/>
    </xf>
    <xf numFmtId="167" fontId="9" fillId="0" borderId="8" xfId="0" applyFont="true" applyBorder="true" applyAlignment="true" applyProtection="false">
      <alignment horizontal="center" vertical="center" textRotation="0" wrapText="false" indent="0" shrinkToFit="false"/>
      <protection locked="true" hidden="false"/>
    </xf>
    <xf numFmtId="164" fontId="12" fillId="0" borderId="9" xfId="0" applyFont="true" applyBorder="true" applyAlignment="true" applyProtection="false">
      <alignment horizontal="left" vertical="bottom" textRotation="0" wrapText="false" indent="0" shrinkToFit="false"/>
      <protection locked="true" hidden="false"/>
    </xf>
    <xf numFmtId="165" fontId="12" fillId="0" borderId="9" xfId="0" applyFont="true" applyBorder="true" applyAlignment="true" applyProtection="false">
      <alignment horizontal="center" vertical="bottom" textRotation="0" wrapText="false" indent="0" shrinkToFit="false"/>
      <protection locked="true" hidden="false"/>
    </xf>
    <xf numFmtId="167" fontId="12" fillId="0" borderId="9" xfId="0" applyFont="true" applyBorder="true" applyAlignment="true" applyProtection="false">
      <alignment horizontal="center" vertical="bottom" textRotation="0" wrapText="false" indent="0" shrinkToFit="false"/>
      <protection locked="true" hidden="false"/>
    </xf>
    <xf numFmtId="164" fontId="8" fillId="4" borderId="0" xfId="0" applyFont="true" applyBorder="false" applyAlignment="true" applyProtection="false">
      <alignment horizontal="general"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true" indent="0" shrinkToFit="false"/>
      <protection locked="true" hidden="false"/>
    </xf>
    <xf numFmtId="164" fontId="10" fillId="0" borderId="8" xfId="0" applyFont="true" applyBorder="true" applyAlignment="true" applyProtection="false">
      <alignment horizontal="center" vertical="center" textRotation="0" wrapText="true" indent="0" shrinkToFit="false"/>
      <protection locked="true" hidden="false"/>
    </xf>
    <xf numFmtId="164" fontId="12" fillId="0" borderId="8" xfId="0" applyFont="true" applyBorder="true" applyAlignment="true" applyProtection="false">
      <alignment horizontal="general" vertical="top" textRotation="0" wrapText="true" indent="0" shrinkToFit="false"/>
      <protection locked="true" hidden="false"/>
    </xf>
    <xf numFmtId="164" fontId="9" fillId="0" borderId="8"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patternType="solid">
          <fgColor rgb="FF1A365D"/>
          <bgColor rgb="FF000000"/>
        </patternFill>
      </fill>
    </dxf>
    <dxf>
      <fill>
        <patternFill patternType="solid">
          <bgColor rgb="FF000000"/>
        </patternFill>
      </fill>
    </dxf>
    <dxf>
      <fill>
        <patternFill patternType="solid">
          <fgColor rgb="FF1E293A"/>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8F0FE"/>
          <bgColor rgb="FF000000"/>
        </patternFill>
      </fill>
    </dxf>
    <dxf>
      <fill>
        <patternFill patternType="solid">
          <fgColor rgb="FFF1F3F5"/>
          <bgColor rgb="FF000000"/>
        </patternFill>
      </fill>
    </dxf>
    <dxf>
      <fill>
        <patternFill patternType="solid">
          <fgColor rgb="FFFFF4E0"/>
          <bgColor rgb="FF000000"/>
        </patternFill>
      </fill>
    </dxf>
    <dxf>
      <fill>
        <patternFill patternType="solid">
          <fgColor rgb="FF1A4FB0"/>
          <bgColor rgb="FF000000"/>
        </patternFill>
      </fill>
    </dxf>
    <dxf>
      <fill>
        <patternFill patternType="solid">
          <fgColor rgb="FF1E7B3C"/>
          <bgColor rgb="FF000000"/>
        </patternFill>
      </fill>
    </dxf>
    <dxf>
      <fill>
        <patternFill patternType="solid">
          <fgColor rgb="FF5B6470"/>
          <bgColor rgb="FF000000"/>
        </patternFill>
      </fill>
    </dxf>
    <dxf>
      <fill>
        <patternFill patternType="solid">
          <fgColor rgb="FF9A5B00"/>
          <bgColor rgb="FF000000"/>
        </patternFill>
      </fill>
    </dxf>
    <dxf>
      <fill>
        <patternFill patternType="solid">
          <fgColor rgb="FFFFFBEA"/>
          <bgColor rgb="FF000000"/>
        </patternFill>
      </fill>
    </dxf>
    <dxf>
      <font>
        <b val="1"/>
        <color rgb="FF1E7B3C"/>
      </font>
      <fill>
        <patternFill>
          <bgColor rgb="FFE6F4EA"/>
        </patternFill>
      </fill>
    </dxf>
    <dxf>
      <font>
        <b val="1"/>
        <color rgb="FF9A5B00"/>
      </font>
      <fill>
        <patternFill>
          <bgColor rgb="FFFFF4E0"/>
        </patternFill>
      </fill>
    </dxf>
    <dxf>
      <font>
        <b val="1"/>
        <color rgb="FF1A4FB0"/>
      </font>
      <fill>
        <patternFill>
          <bgColor rgb="FFE8F0FE"/>
        </patternFill>
      </fill>
    </dxf>
    <dxf>
      <font>
        <b val="1"/>
        <color rgb="FF5B6470"/>
      </font>
      <fill>
        <patternFill>
          <bgColor rgb="FFF1F3F5"/>
        </patternFill>
      </fill>
    </dxf>
  </dxfs>
  <colors>
    <indexedColors>
      <rgbColor rgb="FF000000"/>
      <rgbColor rgb="FFFFFFFF"/>
      <rgbColor rgb="FFFF0000"/>
      <rgbColor rgb="FF00FF00"/>
      <rgbColor rgb="FF0000FF"/>
      <rgbColor rgb="FFFFFF00"/>
      <rgbColor rgb="FFFF00FF"/>
      <rgbColor rgb="FF00FFFF"/>
      <rgbColor rgb="FF800000"/>
      <rgbColor rgb="FF1E7B3C"/>
      <rgbColor rgb="FF000080"/>
      <rgbColor rgb="FF808000"/>
      <rgbColor rgb="FF800080"/>
      <rgbColor rgb="FF008080"/>
      <rgbColor rgb="FFBFCCD8"/>
      <rgbColor rgb="FF5B6470"/>
      <rgbColor rgb="FF9999FF"/>
      <rgbColor rgb="FF993366"/>
      <rgbColor rgb="FFFFFBEA"/>
      <rgbColor rgb="FFE6F4EA"/>
      <rgbColor rgb="FF660066"/>
      <rgbColor rgb="FFFF8080"/>
      <rgbColor rgb="FF1A4FB0"/>
      <rgbColor rgb="FFEEF3F8"/>
      <rgbColor rgb="FF000080"/>
      <rgbColor rgb="FFFF00FF"/>
      <rgbColor rgb="FFFFFF00"/>
      <rgbColor rgb="FF00FFFF"/>
      <rgbColor rgb="FF800080"/>
      <rgbColor rgb="FF800000"/>
      <rgbColor rgb="FF008080"/>
      <rgbColor rgb="FF0000FF"/>
      <rgbColor rgb="FF00CCFF"/>
      <rgbColor rgb="FFE8F0FE"/>
      <rgbColor rgb="FFE1E8EF"/>
      <rgbColor rgb="FFFFF4E0"/>
      <rgbColor rgb="FFF6F8FB"/>
      <rgbColor rgb="FFFF99CC"/>
      <rgbColor rgb="FFCC99FF"/>
      <rgbColor rgb="FFF1F3F5"/>
      <rgbColor rgb="FF3366FF"/>
      <rgbColor rgb="FF33CCCC"/>
      <rgbColor rgb="FF99CC00"/>
      <rgbColor rgb="FFFFCC00"/>
      <rgbColor rgb="FFFF9900"/>
      <rgbColor rgb="FFFF6600"/>
      <rgbColor rgb="FF66727F"/>
      <rgbColor rgb="FF969696"/>
      <rgbColor rgb="FF1A365D"/>
      <rgbColor rgb="FF339966"/>
      <rgbColor rgb="FF003300"/>
      <rgbColor rgb="FF333300"/>
      <rgbColor rgb="FF9A5B00"/>
      <rgbColor rgb="FF993366"/>
      <rgbColor rgb="FF465469"/>
      <rgbColor rgb="FF1E29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1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8" topLeftCell="D9" activePane="bottomRight" state="frozen"/>
      <selection pane="topLeft" activeCell="A1" activeCellId="0" sqref="A1"/>
      <selection pane="topRight" activeCell="D1" activeCellId="0" sqref="D1"/>
      <selection pane="bottomLeft" activeCell="A9" activeCellId="0" sqref="A9"/>
      <selection pane="bottomRigh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6"/>
    <col collapsed="false" customWidth="true" hidden="false" outlineLevel="0" max="3" min="3" style="0" width="26"/>
    <col collapsed="false" customWidth="true" hidden="false" outlineLevel="0" max="4" min="4" style="0" width="46"/>
    <col collapsed="false" customWidth="true" hidden="false" outlineLevel="0" max="5" min="5" style="0" width="40"/>
    <col collapsed="false" customWidth="true" hidden="false" outlineLevel="0" max="6" min="6" style="0" width="14"/>
    <col collapsed="false" customWidth="true" hidden="false" outlineLevel="0" max="7" min="7" style="0" width="22"/>
    <col collapsed="false" customWidth="true" hidden="false" outlineLevel="0" max="8" min="8" style="0" width="24"/>
    <col collapsed="false" customWidth="true" hidden="false" outlineLevel="0" max="9" min="9" style="0" width="26"/>
    <col collapsed="false" customWidth="true" hidden="false" outlineLevel="0" max="10" min="10" style="0" width="32"/>
    <col collapsed="false" customWidth="true" hidden="false" outlineLevel="0" max="11" min="11" style="0" width="46"/>
    <col collapsed="false" customWidth="true" hidden="false" outlineLevel="0" max="12" min="12" style="0" width="30"/>
    <col collapsed="false" customWidth="true" hidden="false" outlineLevel="0" max="13" min="13" style="0" width="12"/>
  </cols>
  <sheetData>
    <row r="1" customFormat="false" ht="6.75" hidden="false" customHeight="true" outlineLevel="0" collapsed="false"/>
    <row r="2" customFormat="false" ht="27" hidden="false" customHeight="true" outlineLevel="0" collapsed="false">
      <c r="B2" s="1" t="s">
        <v>0</v>
      </c>
    </row>
    <row r="3" customFormat="false" ht="16.5" hidden="false" customHeight="true" outlineLevel="0" collapsed="false">
      <c r="B3" s="2" t="s">
        <v>1</v>
      </c>
    </row>
    <row r="4" customFormat="false" ht="18" hidden="false" customHeight="true" outlineLevel="0" collapsed="false">
      <c r="C4" s="3" t="s">
        <v>2</v>
      </c>
      <c r="D4" s="3" t="s">
        <v>3</v>
      </c>
      <c r="E4" s="3" t="s">
        <v>4</v>
      </c>
      <c r="F4" s="3" t="s">
        <v>5</v>
      </c>
      <c r="G4" s="3" t="s">
        <v>6</v>
      </c>
      <c r="H4" s="3" t="s">
        <v>7</v>
      </c>
    </row>
    <row r="5" customFormat="false" ht="27" hidden="false" customHeight="true" outlineLevel="0" collapsed="false">
      <c r="C5" s="4" t="n">
        <f aca="false">COUNTA(D9:D158)</f>
        <v>150</v>
      </c>
      <c r="D5" s="4" t="n">
        <f aca="false">COUNTIF(F9:F158,"Completed")</f>
        <v>80</v>
      </c>
      <c r="E5" s="4" t="n">
        <f aca="false">COUNTIF(F9:F158,"In Progress")</f>
        <v>49</v>
      </c>
      <c r="F5" s="4" t="n">
        <f aca="false">COUNTIF(F9:F158,"In Review")</f>
        <v>2</v>
      </c>
      <c r="G5" s="4" t="n">
        <f aca="false">COUNTIF(F9:F158,"Planned")</f>
        <v>19</v>
      </c>
      <c r="H5" s="5" t="n">
        <f aca="false">IF(C5&gt;0,D5/C5,0)</f>
        <v>0.533333333333333</v>
      </c>
    </row>
    <row r="6" customFormat="false" ht="24" hidden="false" customHeight="true" outlineLevel="0" collapsed="false">
      <c r="C6" s="6" t="s">
        <v>8</v>
      </c>
      <c r="D6" s="6" t="s">
        <v>9</v>
      </c>
      <c r="E6" s="6" t="s">
        <v>10</v>
      </c>
      <c r="F6" s="6" t="s">
        <v>11</v>
      </c>
      <c r="G6" s="6" t="s">
        <v>12</v>
      </c>
      <c r="H6" s="6" t="s">
        <v>13</v>
      </c>
    </row>
    <row r="7" customFormat="false" ht="12" hidden="false" customHeight="true" outlineLevel="0" collapsed="false"/>
    <row r="8" customFormat="false" ht="30" hidden="false" customHeight="true" outlineLevel="0" collapsed="false">
      <c r="B8" s="7" t="s">
        <v>14</v>
      </c>
      <c r="C8" s="8" t="s">
        <v>15</v>
      </c>
      <c r="D8" s="8" t="s">
        <v>16</v>
      </c>
      <c r="E8" s="8" t="s">
        <v>17</v>
      </c>
      <c r="F8" s="7" t="s">
        <v>18</v>
      </c>
      <c r="G8" s="8" t="s">
        <v>19</v>
      </c>
      <c r="H8" s="8" t="s">
        <v>20</v>
      </c>
      <c r="I8" s="8" t="s">
        <v>21</v>
      </c>
      <c r="J8" s="8" t="s">
        <v>22</v>
      </c>
      <c r="K8" s="8" t="s">
        <v>23</v>
      </c>
      <c r="L8" s="8" t="s">
        <v>24</v>
      </c>
      <c r="M8" s="7" t="s">
        <v>25</v>
      </c>
    </row>
    <row r="9" customFormat="false" ht="33.75" hidden="false" customHeight="true" outlineLevel="0" collapsed="false">
      <c r="B9" s="9" t="n">
        <v>1</v>
      </c>
      <c r="C9" s="10" t="s">
        <v>26</v>
      </c>
      <c r="D9" s="10" t="s">
        <v>27</v>
      </c>
      <c r="E9" s="10" t="s">
        <v>28</v>
      </c>
      <c r="F9" s="11" t="s">
        <v>29</v>
      </c>
      <c r="G9" s="10" t="s">
        <v>30</v>
      </c>
      <c r="H9" s="10" t="s">
        <v>31</v>
      </c>
      <c r="I9" s="10" t="s">
        <v>32</v>
      </c>
      <c r="J9" s="10" t="s">
        <v>33</v>
      </c>
      <c r="K9" s="10"/>
      <c r="L9" s="12"/>
      <c r="M9" s="13" t="s">
        <v>34</v>
      </c>
    </row>
    <row r="10" customFormat="false" ht="25.5" hidden="false" customHeight="true" outlineLevel="0" collapsed="false">
      <c r="B10" s="9" t="n">
        <v>2</v>
      </c>
      <c r="C10" s="10" t="s">
        <v>26</v>
      </c>
      <c r="D10" s="10" t="s">
        <v>35</v>
      </c>
      <c r="E10" s="10" t="s">
        <v>36</v>
      </c>
      <c r="F10" s="11" t="s">
        <v>29</v>
      </c>
      <c r="G10" s="10" t="s">
        <v>30</v>
      </c>
      <c r="H10" s="10" t="s">
        <v>31</v>
      </c>
      <c r="I10" s="10" t="s">
        <v>37</v>
      </c>
      <c r="J10" s="10" t="s">
        <v>38</v>
      </c>
      <c r="K10" s="10"/>
      <c r="L10" s="12"/>
      <c r="M10" s="13" t="s">
        <v>39</v>
      </c>
    </row>
    <row r="11" customFormat="false" ht="25.5" hidden="false" customHeight="true" outlineLevel="0" collapsed="false">
      <c r="B11" s="9" t="n">
        <v>3</v>
      </c>
      <c r="C11" s="10" t="s">
        <v>26</v>
      </c>
      <c r="D11" s="10" t="s">
        <v>40</v>
      </c>
      <c r="E11" s="10" t="s">
        <v>41</v>
      </c>
      <c r="F11" s="11" t="s">
        <v>29</v>
      </c>
      <c r="G11" s="10" t="s">
        <v>30</v>
      </c>
      <c r="H11" s="10" t="s">
        <v>31</v>
      </c>
      <c r="I11" s="10" t="s">
        <v>42</v>
      </c>
      <c r="J11" s="10" t="s">
        <v>43</v>
      </c>
      <c r="K11" s="10"/>
      <c r="L11" s="12"/>
      <c r="M11" s="13" t="s">
        <v>44</v>
      </c>
    </row>
    <row r="12" customFormat="false" ht="25.5" hidden="false" customHeight="true" outlineLevel="0" collapsed="false">
      <c r="B12" s="9" t="n">
        <v>4</v>
      </c>
      <c r="C12" s="10" t="s">
        <v>26</v>
      </c>
      <c r="D12" s="10" t="s">
        <v>45</v>
      </c>
      <c r="E12" s="10" t="s">
        <v>46</v>
      </c>
      <c r="F12" s="11" t="s">
        <v>29</v>
      </c>
      <c r="G12" s="10" t="s">
        <v>30</v>
      </c>
      <c r="H12" s="10" t="s">
        <v>31</v>
      </c>
      <c r="I12" s="10" t="s">
        <v>47</v>
      </c>
      <c r="J12" s="10" t="s">
        <v>48</v>
      </c>
      <c r="K12" s="10"/>
      <c r="L12" s="12"/>
      <c r="M12" s="13" t="s">
        <v>34</v>
      </c>
    </row>
    <row r="13" customFormat="false" ht="33.75" hidden="false" customHeight="true" outlineLevel="0" collapsed="false">
      <c r="B13" s="9" t="n">
        <v>5</v>
      </c>
      <c r="C13" s="10" t="s">
        <v>26</v>
      </c>
      <c r="D13" s="10" t="s">
        <v>49</v>
      </c>
      <c r="E13" s="10" t="s">
        <v>50</v>
      </c>
      <c r="F13" s="11" t="s">
        <v>51</v>
      </c>
      <c r="G13" s="10" t="s">
        <v>30</v>
      </c>
      <c r="H13" s="10" t="s">
        <v>31</v>
      </c>
      <c r="I13" s="10" t="s">
        <v>32</v>
      </c>
      <c r="J13" s="10" t="s">
        <v>52</v>
      </c>
      <c r="K13" s="10" t="s">
        <v>53</v>
      </c>
      <c r="L13" s="12"/>
      <c r="M13" s="13" t="s">
        <v>34</v>
      </c>
    </row>
    <row r="14" customFormat="false" ht="33.75" hidden="false" customHeight="true" outlineLevel="0" collapsed="false">
      <c r="B14" s="9" t="n">
        <v>6</v>
      </c>
      <c r="C14" s="10" t="s">
        <v>26</v>
      </c>
      <c r="D14" s="10" t="s">
        <v>54</v>
      </c>
      <c r="E14" s="10" t="s">
        <v>55</v>
      </c>
      <c r="F14" s="11" t="s">
        <v>29</v>
      </c>
      <c r="G14" s="10" t="s">
        <v>30</v>
      </c>
      <c r="H14" s="10" t="s">
        <v>31</v>
      </c>
      <c r="I14" s="10" t="s">
        <v>32</v>
      </c>
      <c r="J14" s="10" t="s">
        <v>56</v>
      </c>
      <c r="K14" s="10"/>
      <c r="L14" s="12"/>
      <c r="M14" s="13" t="s">
        <v>57</v>
      </c>
    </row>
    <row r="15" customFormat="false" ht="33.75" hidden="false" customHeight="true" outlineLevel="0" collapsed="false">
      <c r="B15" s="9" t="n">
        <v>7</v>
      </c>
      <c r="C15" s="10" t="s">
        <v>26</v>
      </c>
      <c r="D15" s="10" t="s">
        <v>58</v>
      </c>
      <c r="E15" s="10" t="s">
        <v>59</v>
      </c>
      <c r="F15" s="11" t="s">
        <v>29</v>
      </c>
      <c r="G15" s="10" t="s">
        <v>30</v>
      </c>
      <c r="H15" s="10" t="s">
        <v>31</v>
      </c>
      <c r="I15" s="10" t="s">
        <v>32</v>
      </c>
      <c r="J15" s="10" t="s">
        <v>60</v>
      </c>
      <c r="K15" s="10"/>
      <c r="L15" s="12"/>
      <c r="M15" s="13" t="s">
        <v>57</v>
      </c>
    </row>
    <row r="16" customFormat="false" ht="33.75" hidden="false" customHeight="true" outlineLevel="0" collapsed="false">
      <c r="B16" s="9" t="n">
        <v>8</v>
      </c>
      <c r="C16" s="10" t="s">
        <v>26</v>
      </c>
      <c r="D16" s="10" t="s">
        <v>61</v>
      </c>
      <c r="E16" s="10" t="s">
        <v>62</v>
      </c>
      <c r="F16" s="11" t="s">
        <v>29</v>
      </c>
      <c r="G16" s="10" t="s">
        <v>30</v>
      </c>
      <c r="H16" s="10" t="s">
        <v>31</v>
      </c>
      <c r="I16" s="10" t="s">
        <v>63</v>
      </c>
      <c r="J16" s="10" t="s">
        <v>64</v>
      </c>
      <c r="K16" s="10"/>
      <c r="L16" s="12"/>
      <c r="M16" s="13" t="s">
        <v>34</v>
      </c>
    </row>
    <row r="17" customFormat="false" ht="25.5" hidden="false" customHeight="true" outlineLevel="0" collapsed="false">
      <c r="B17" s="9" t="n">
        <v>9</v>
      </c>
      <c r="C17" s="10" t="s">
        <v>65</v>
      </c>
      <c r="D17" s="10" t="s">
        <v>66</v>
      </c>
      <c r="E17" s="10" t="s">
        <v>67</v>
      </c>
      <c r="F17" s="11" t="s">
        <v>29</v>
      </c>
      <c r="G17" s="10" t="s">
        <v>30</v>
      </c>
      <c r="H17" s="10" t="s">
        <v>31</v>
      </c>
      <c r="I17" s="10" t="s">
        <v>65</v>
      </c>
      <c r="J17" s="10" t="s">
        <v>68</v>
      </c>
      <c r="K17" s="10"/>
      <c r="L17" s="12"/>
      <c r="M17" s="13" t="s">
        <v>69</v>
      </c>
    </row>
    <row r="18" customFormat="false" ht="33.75" hidden="false" customHeight="true" outlineLevel="0" collapsed="false">
      <c r="B18" s="9" t="n">
        <v>10</v>
      </c>
      <c r="C18" s="10" t="s">
        <v>65</v>
      </c>
      <c r="D18" s="10" t="s">
        <v>70</v>
      </c>
      <c r="E18" s="10" t="s">
        <v>71</v>
      </c>
      <c r="F18" s="11" t="s">
        <v>51</v>
      </c>
      <c r="G18" s="10" t="s">
        <v>30</v>
      </c>
      <c r="H18" s="10" t="s">
        <v>31</v>
      </c>
      <c r="I18" s="10" t="s">
        <v>65</v>
      </c>
      <c r="J18" s="10" t="s">
        <v>72</v>
      </c>
      <c r="K18" s="10" t="s">
        <v>73</v>
      </c>
      <c r="L18" s="12"/>
      <c r="M18" s="13" t="s">
        <v>69</v>
      </c>
    </row>
    <row r="19" customFormat="false" ht="33.75" hidden="false" customHeight="true" outlineLevel="0" collapsed="false">
      <c r="B19" s="9" t="n">
        <v>11</v>
      </c>
      <c r="C19" s="10" t="s">
        <v>65</v>
      </c>
      <c r="D19" s="10" t="s">
        <v>74</v>
      </c>
      <c r="E19" s="10" t="s">
        <v>75</v>
      </c>
      <c r="F19" s="11" t="s">
        <v>51</v>
      </c>
      <c r="G19" s="10" t="s">
        <v>76</v>
      </c>
      <c r="H19" s="10" t="s">
        <v>31</v>
      </c>
      <c r="I19" s="10" t="s">
        <v>77</v>
      </c>
      <c r="J19" s="10" t="s">
        <v>78</v>
      </c>
      <c r="K19" s="10" t="s">
        <v>79</v>
      </c>
      <c r="L19" s="12"/>
      <c r="M19" s="13" t="s">
        <v>69</v>
      </c>
    </row>
    <row r="20" customFormat="false" ht="33.75" hidden="false" customHeight="true" outlineLevel="0" collapsed="false">
      <c r="B20" s="9" t="n">
        <v>12</v>
      </c>
      <c r="C20" s="10" t="s">
        <v>65</v>
      </c>
      <c r="D20" s="10" t="s">
        <v>80</v>
      </c>
      <c r="E20" s="10" t="s">
        <v>81</v>
      </c>
      <c r="F20" s="11" t="s">
        <v>29</v>
      </c>
      <c r="G20" s="10" t="s">
        <v>76</v>
      </c>
      <c r="H20" s="10" t="s">
        <v>31</v>
      </c>
      <c r="I20" s="10" t="s">
        <v>77</v>
      </c>
      <c r="J20" s="10" t="s">
        <v>82</v>
      </c>
      <c r="K20" s="10"/>
      <c r="L20" s="12"/>
      <c r="M20" s="13" t="s">
        <v>83</v>
      </c>
    </row>
    <row r="21" customFormat="false" ht="33.75" hidden="false" customHeight="true" outlineLevel="0" collapsed="false">
      <c r="B21" s="9" t="n">
        <v>13</v>
      </c>
      <c r="C21" s="10" t="s">
        <v>65</v>
      </c>
      <c r="D21" s="10" t="s">
        <v>84</v>
      </c>
      <c r="E21" s="10" t="s">
        <v>85</v>
      </c>
      <c r="F21" s="11" t="s">
        <v>86</v>
      </c>
      <c r="G21" s="10" t="s">
        <v>87</v>
      </c>
      <c r="H21" s="10" t="s">
        <v>31</v>
      </c>
      <c r="I21" s="10" t="s">
        <v>31</v>
      </c>
      <c r="J21" s="10" t="s">
        <v>31</v>
      </c>
      <c r="K21" s="10" t="s">
        <v>88</v>
      </c>
      <c r="L21" s="12"/>
      <c r="M21" s="13" t="s">
        <v>31</v>
      </c>
    </row>
    <row r="22" customFormat="false" ht="25.5" hidden="false" customHeight="true" outlineLevel="0" collapsed="false">
      <c r="B22" s="9" t="n">
        <v>14</v>
      </c>
      <c r="C22" s="10" t="s">
        <v>65</v>
      </c>
      <c r="D22" s="10" t="s">
        <v>89</v>
      </c>
      <c r="E22" s="10" t="s">
        <v>90</v>
      </c>
      <c r="F22" s="11" t="s">
        <v>29</v>
      </c>
      <c r="G22" s="10" t="s">
        <v>30</v>
      </c>
      <c r="H22" s="10" t="s">
        <v>31</v>
      </c>
      <c r="I22" s="10" t="s">
        <v>77</v>
      </c>
      <c r="J22" s="10" t="s">
        <v>91</v>
      </c>
      <c r="K22" s="10"/>
      <c r="L22" s="12"/>
      <c r="M22" s="13" t="s">
        <v>69</v>
      </c>
    </row>
    <row r="23" customFormat="false" ht="33.75" hidden="false" customHeight="true" outlineLevel="0" collapsed="false">
      <c r="B23" s="9" t="n">
        <v>15</v>
      </c>
      <c r="C23" s="10" t="s">
        <v>65</v>
      </c>
      <c r="D23" s="10" t="s">
        <v>92</v>
      </c>
      <c r="E23" s="10" t="s">
        <v>93</v>
      </c>
      <c r="F23" s="11" t="s">
        <v>51</v>
      </c>
      <c r="G23" s="10" t="s">
        <v>76</v>
      </c>
      <c r="H23" s="10" t="s">
        <v>31</v>
      </c>
      <c r="I23" s="10" t="s">
        <v>94</v>
      </c>
      <c r="J23" s="10" t="s">
        <v>95</v>
      </c>
      <c r="K23" s="10" t="s">
        <v>96</v>
      </c>
      <c r="L23" s="12"/>
      <c r="M23" s="13" t="s">
        <v>97</v>
      </c>
    </row>
    <row r="24" customFormat="false" ht="33.75" hidden="false" customHeight="true" outlineLevel="0" collapsed="false">
      <c r="B24" s="9" t="n">
        <v>16</v>
      </c>
      <c r="C24" s="10" t="s">
        <v>65</v>
      </c>
      <c r="D24" s="10" t="s">
        <v>98</v>
      </c>
      <c r="E24" s="10" t="s">
        <v>99</v>
      </c>
      <c r="F24" s="11" t="s">
        <v>29</v>
      </c>
      <c r="G24" s="10" t="s">
        <v>30</v>
      </c>
      <c r="H24" s="10" t="s">
        <v>31</v>
      </c>
      <c r="I24" s="10" t="s">
        <v>100</v>
      </c>
      <c r="J24" s="10" t="s">
        <v>101</v>
      </c>
      <c r="K24" s="10"/>
      <c r="L24" s="12"/>
      <c r="M24" s="13" t="s">
        <v>102</v>
      </c>
    </row>
    <row r="25" customFormat="false" ht="33.75" hidden="false" customHeight="true" outlineLevel="0" collapsed="false">
      <c r="B25" s="9" t="n">
        <v>17</v>
      </c>
      <c r="C25" s="10" t="s">
        <v>65</v>
      </c>
      <c r="D25" s="10" t="s">
        <v>103</v>
      </c>
      <c r="E25" s="10" t="s">
        <v>104</v>
      </c>
      <c r="F25" s="11" t="s">
        <v>29</v>
      </c>
      <c r="G25" s="10" t="s">
        <v>30</v>
      </c>
      <c r="H25" s="10" t="s">
        <v>31</v>
      </c>
      <c r="I25" s="10" t="s">
        <v>105</v>
      </c>
      <c r="J25" s="10" t="s">
        <v>106</v>
      </c>
      <c r="K25" s="10"/>
      <c r="L25" s="12"/>
      <c r="M25" s="13" t="s">
        <v>69</v>
      </c>
    </row>
    <row r="26" customFormat="false" ht="33.75" hidden="false" customHeight="true" outlineLevel="0" collapsed="false">
      <c r="B26" s="9" t="n">
        <v>18</v>
      </c>
      <c r="C26" s="10" t="s">
        <v>65</v>
      </c>
      <c r="D26" s="10" t="s">
        <v>107</v>
      </c>
      <c r="E26" s="10" t="s">
        <v>108</v>
      </c>
      <c r="F26" s="11" t="s">
        <v>29</v>
      </c>
      <c r="G26" s="10" t="s">
        <v>30</v>
      </c>
      <c r="H26" s="10" t="s">
        <v>31</v>
      </c>
      <c r="I26" s="10" t="s">
        <v>109</v>
      </c>
      <c r="J26" s="10" t="s">
        <v>110</v>
      </c>
      <c r="K26" s="10"/>
      <c r="L26" s="12"/>
      <c r="M26" s="13" t="s">
        <v>102</v>
      </c>
    </row>
    <row r="27" customFormat="false" ht="33.75" hidden="false" customHeight="true" outlineLevel="0" collapsed="false">
      <c r="B27" s="9" t="n">
        <v>19</v>
      </c>
      <c r="C27" s="10" t="s">
        <v>111</v>
      </c>
      <c r="D27" s="10" t="s">
        <v>112</v>
      </c>
      <c r="E27" s="10" t="s">
        <v>113</v>
      </c>
      <c r="F27" s="11" t="s">
        <v>29</v>
      </c>
      <c r="G27" s="10" t="s">
        <v>30</v>
      </c>
      <c r="H27" s="10" t="s">
        <v>31</v>
      </c>
      <c r="I27" s="10" t="s">
        <v>114</v>
      </c>
      <c r="J27" s="10" t="s">
        <v>115</v>
      </c>
      <c r="K27" s="10"/>
      <c r="L27" s="12"/>
      <c r="M27" s="13" t="s">
        <v>116</v>
      </c>
    </row>
    <row r="28" customFormat="false" ht="33.75" hidden="false" customHeight="true" outlineLevel="0" collapsed="false">
      <c r="B28" s="9" t="n">
        <v>20</v>
      </c>
      <c r="C28" s="10" t="s">
        <v>111</v>
      </c>
      <c r="D28" s="10" t="s">
        <v>117</v>
      </c>
      <c r="E28" s="10" t="s">
        <v>31</v>
      </c>
      <c r="F28" s="11" t="s">
        <v>86</v>
      </c>
      <c r="G28" s="10" t="s">
        <v>30</v>
      </c>
      <c r="H28" s="10" t="s">
        <v>31</v>
      </c>
      <c r="I28" s="10" t="s">
        <v>31</v>
      </c>
      <c r="J28" s="10" t="s">
        <v>31</v>
      </c>
      <c r="K28" s="10" t="s">
        <v>118</v>
      </c>
      <c r="L28" s="12"/>
      <c r="M28" s="13" t="s">
        <v>119</v>
      </c>
    </row>
    <row r="29" customFormat="false" ht="48" hidden="false" customHeight="true" outlineLevel="0" collapsed="false">
      <c r="B29" s="9" t="n">
        <v>21</v>
      </c>
      <c r="C29" s="10" t="s">
        <v>111</v>
      </c>
      <c r="D29" s="10" t="s">
        <v>120</v>
      </c>
      <c r="E29" s="10" t="s">
        <v>121</v>
      </c>
      <c r="F29" s="11" t="s">
        <v>29</v>
      </c>
      <c r="G29" s="10" t="s">
        <v>30</v>
      </c>
      <c r="H29" s="10" t="s">
        <v>31</v>
      </c>
      <c r="I29" s="10" t="s">
        <v>114</v>
      </c>
      <c r="J29" s="10" t="s">
        <v>122</v>
      </c>
      <c r="K29" s="10"/>
      <c r="L29" s="12"/>
      <c r="M29" s="13" t="s">
        <v>123</v>
      </c>
    </row>
    <row r="30" customFormat="false" ht="25.5" hidden="false" customHeight="true" outlineLevel="0" collapsed="false">
      <c r="B30" s="9" t="n">
        <v>22</v>
      </c>
      <c r="C30" s="10" t="s">
        <v>124</v>
      </c>
      <c r="D30" s="10" t="s">
        <v>125</v>
      </c>
      <c r="E30" s="10" t="s">
        <v>59</v>
      </c>
      <c r="F30" s="11" t="s">
        <v>29</v>
      </c>
      <c r="G30" s="10" t="s">
        <v>30</v>
      </c>
      <c r="H30" s="10" t="s">
        <v>31</v>
      </c>
      <c r="I30" s="10" t="s">
        <v>126</v>
      </c>
      <c r="J30" s="10" t="s">
        <v>127</v>
      </c>
      <c r="K30" s="10"/>
      <c r="L30" s="12"/>
      <c r="M30" s="13" t="s">
        <v>128</v>
      </c>
    </row>
    <row r="31" customFormat="false" ht="33.75" hidden="false" customHeight="true" outlineLevel="0" collapsed="false">
      <c r="B31" s="9" t="n">
        <v>23</v>
      </c>
      <c r="C31" s="10" t="s">
        <v>124</v>
      </c>
      <c r="D31" s="10" t="s">
        <v>129</v>
      </c>
      <c r="E31" s="10" t="s">
        <v>130</v>
      </c>
      <c r="F31" s="11" t="s">
        <v>29</v>
      </c>
      <c r="G31" s="10" t="s">
        <v>30</v>
      </c>
      <c r="H31" s="10" t="s">
        <v>31</v>
      </c>
      <c r="I31" s="10" t="s">
        <v>126</v>
      </c>
      <c r="J31" s="10" t="s">
        <v>131</v>
      </c>
      <c r="K31" s="10"/>
      <c r="L31" s="12"/>
      <c r="M31" s="13" t="s">
        <v>128</v>
      </c>
    </row>
    <row r="32" customFormat="false" ht="33.75" hidden="false" customHeight="true" outlineLevel="0" collapsed="false">
      <c r="B32" s="9" t="n">
        <v>24</v>
      </c>
      <c r="C32" s="10" t="s">
        <v>124</v>
      </c>
      <c r="D32" s="10" t="s">
        <v>132</v>
      </c>
      <c r="E32" s="10" t="s">
        <v>133</v>
      </c>
      <c r="F32" s="11" t="s">
        <v>29</v>
      </c>
      <c r="G32" s="10" t="s">
        <v>76</v>
      </c>
      <c r="H32" s="10" t="s">
        <v>31</v>
      </c>
      <c r="I32" s="10" t="s">
        <v>126</v>
      </c>
      <c r="J32" s="10" t="s">
        <v>134</v>
      </c>
      <c r="K32" s="10"/>
      <c r="L32" s="12"/>
      <c r="M32" s="13" t="s">
        <v>128</v>
      </c>
    </row>
    <row r="33" customFormat="false" ht="33.75" hidden="false" customHeight="true" outlineLevel="0" collapsed="false">
      <c r="B33" s="9" t="n">
        <v>25</v>
      </c>
      <c r="C33" s="10" t="s">
        <v>124</v>
      </c>
      <c r="D33" s="10" t="s">
        <v>135</v>
      </c>
      <c r="E33" s="10" t="s">
        <v>136</v>
      </c>
      <c r="F33" s="11" t="s">
        <v>29</v>
      </c>
      <c r="G33" s="10" t="s">
        <v>30</v>
      </c>
      <c r="H33" s="10" t="s">
        <v>31</v>
      </c>
      <c r="I33" s="10" t="s">
        <v>126</v>
      </c>
      <c r="J33" s="10" t="s">
        <v>137</v>
      </c>
      <c r="K33" s="10"/>
      <c r="L33" s="12"/>
      <c r="M33" s="13" t="s">
        <v>128</v>
      </c>
    </row>
    <row r="34" customFormat="false" ht="33.75" hidden="false" customHeight="true" outlineLevel="0" collapsed="false">
      <c r="B34" s="9" t="n">
        <v>26</v>
      </c>
      <c r="C34" s="10" t="s">
        <v>124</v>
      </c>
      <c r="D34" s="10" t="s">
        <v>138</v>
      </c>
      <c r="E34" s="10" t="s">
        <v>139</v>
      </c>
      <c r="F34" s="11" t="s">
        <v>29</v>
      </c>
      <c r="G34" s="10" t="s">
        <v>30</v>
      </c>
      <c r="H34" s="10" t="s">
        <v>31</v>
      </c>
      <c r="I34" s="10" t="s">
        <v>126</v>
      </c>
      <c r="J34" s="10" t="s">
        <v>140</v>
      </c>
      <c r="K34" s="10"/>
      <c r="L34" s="12"/>
      <c r="M34" s="13" t="s">
        <v>141</v>
      </c>
    </row>
    <row r="35" customFormat="false" ht="33.75" hidden="false" customHeight="true" outlineLevel="0" collapsed="false">
      <c r="B35" s="9" t="n">
        <v>27</v>
      </c>
      <c r="C35" s="10" t="s">
        <v>124</v>
      </c>
      <c r="D35" s="10" t="s">
        <v>142</v>
      </c>
      <c r="E35" s="10" t="s">
        <v>143</v>
      </c>
      <c r="F35" s="11" t="s">
        <v>29</v>
      </c>
      <c r="G35" s="10" t="s">
        <v>76</v>
      </c>
      <c r="H35" s="10" t="s">
        <v>31</v>
      </c>
      <c r="I35" s="10" t="s">
        <v>126</v>
      </c>
      <c r="J35" s="10" t="s">
        <v>144</v>
      </c>
      <c r="K35" s="10"/>
      <c r="L35" s="12"/>
      <c r="M35" s="13" t="s">
        <v>141</v>
      </c>
    </row>
    <row r="36" customFormat="false" ht="33.75" hidden="false" customHeight="true" outlineLevel="0" collapsed="false">
      <c r="B36" s="9" t="n">
        <v>28</v>
      </c>
      <c r="C36" s="10" t="s">
        <v>124</v>
      </c>
      <c r="D36" s="10" t="s">
        <v>145</v>
      </c>
      <c r="E36" s="10" t="s">
        <v>146</v>
      </c>
      <c r="F36" s="11" t="s">
        <v>29</v>
      </c>
      <c r="G36" s="10" t="s">
        <v>76</v>
      </c>
      <c r="H36" s="10" t="s">
        <v>31</v>
      </c>
      <c r="I36" s="10" t="s">
        <v>126</v>
      </c>
      <c r="J36" s="10" t="s">
        <v>147</v>
      </c>
      <c r="K36" s="10"/>
      <c r="L36" s="12"/>
      <c r="M36" s="13" t="s">
        <v>148</v>
      </c>
    </row>
    <row r="37" customFormat="false" ht="33.75" hidden="false" customHeight="true" outlineLevel="0" collapsed="false">
      <c r="B37" s="9" t="n">
        <v>29</v>
      </c>
      <c r="C37" s="10" t="s">
        <v>124</v>
      </c>
      <c r="D37" s="10" t="s">
        <v>149</v>
      </c>
      <c r="E37" s="10" t="s">
        <v>150</v>
      </c>
      <c r="F37" s="11" t="s">
        <v>29</v>
      </c>
      <c r="G37" s="10" t="s">
        <v>76</v>
      </c>
      <c r="H37" s="10" t="s">
        <v>31</v>
      </c>
      <c r="I37" s="10" t="s">
        <v>126</v>
      </c>
      <c r="J37" s="10" t="s">
        <v>151</v>
      </c>
      <c r="K37" s="10"/>
      <c r="L37" s="12"/>
      <c r="M37" s="13" t="s">
        <v>152</v>
      </c>
    </row>
    <row r="38" customFormat="false" ht="33.75" hidden="false" customHeight="true" outlineLevel="0" collapsed="false">
      <c r="B38" s="9" t="n">
        <v>30</v>
      </c>
      <c r="C38" s="10" t="s">
        <v>124</v>
      </c>
      <c r="D38" s="10" t="s">
        <v>153</v>
      </c>
      <c r="E38" s="10" t="s">
        <v>154</v>
      </c>
      <c r="F38" s="11" t="s">
        <v>29</v>
      </c>
      <c r="G38" s="10" t="s">
        <v>76</v>
      </c>
      <c r="H38" s="10" t="s">
        <v>31</v>
      </c>
      <c r="I38" s="10" t="s">
        <v>126</v>
      </c>
      <c r="J38" s="10" t="s">
        <v>155</v>
      </c>
      <c r="K38" s="10"/>
      <c r="L38" s="12"/>
      <c r="M38" s="13" t="s">
        <v>156</v>
      </c>
    </row>
    <row r="39" customFormat="false" ht="33.75" hidden="false" customHeight="true" outlineLevel="0" collapsed="false">
      <c r="B39" s="9" t="n">
        <v>31</v>
      </c>
      <c r="C39" s="10" t="s">
        <v>124</v>
      </c>
      <c r="D39" s="10" t="s">
        <v>157</v>
      </c>
      <c r="E39" s="10" t="s">
        <v>158</v>
      </c>
      <c r="F39" s="11" t="s">
        <v>29</v>
      </c>
      <c r="G39" s="10" t="s">
        <v>159</v>
      </c>
      <c r="H39" s="10" t="s">
        <v>31</v>
      </c>
      <c r="I39" s="10" t="s">
        <v>160</v>
      </c>
      <c r="J39" s="10" t="s">
        <v>161</v>
      </c>
      <c r="K39" s="10" t="s">
        <v>162</v>
      </c>
      <c r="L39" s="12"/>
      <c r="M39" s="13" t="s">
        <v>163</v>
      </c>
    </row>
    <row r="40" customFormat="false" ht="25.5" hidden="false" customHeight="true" outlineLevel="0" collapsed="false">
      <c r="B40" s="9" t="n">
        <v>32</v>
      </c>
      <c r="C40" s="10" t="s">
        <v>124</v>
      </c>
      <c r="D40" s="10" t="s">
        <v>164</v>
      </c>
      <c r="E40" s="10" t="s">
        <v>165</v>
      </c>
      <c r="F40" s="11" t="s">
        <v>29</v>
      </c>
      <c r="G40" s="10" t="s">
        <v>30</v>
      </c>
      <c r="H40" s="10" t="s">
        <v>31</v>
      </c>
      <c r="I40" s="10" t="s">
        <v>126</v>
      </c>
      <c r="J40" s="10" t="s">
        <v>166</v>
      </c>
      <c r="K40" s="10"/>
      <c r="L40" s="12"/>
      <c r="M40" s="13" t="s">
        <v>128</v>
      </c>
    </row>
    <row r="41" customFormat="false" ht="33.75" hidden="false" customHeight="true" outlineLevel="0" collapsed="false">
      <c r="B41" s="9" t="n">
        <v>33</v>
      </c>
      <c r="C41" s="10" t="s">
        <v>124</v>
      </c>
      <c r="D41" s="10" t="s">
        <v>167</v>
      </c>
      <c r="E41" s="10" t="s">
        <v>168</v>
      </c>
      <c r="F41" s="11" t="s">
        <v>29</v>
      </c>
      <c r="G41" s="10" t="s">
        <v>87</v>
      </c>
      <c r="H41" s="10" t="s">
        <v>31</v>
      </c>
      <c r="I41" s="10" t="s">
        <v>169</v>
      </c>
      <c r="J41" s="10" t="s">
        <v>170</v>
      </c>
      <c r="K41" s="10"/>
      <c r="L41" s="12"/>
      <c r="M41" s="13" t="s">
        <v>171</v>
      </c>
    </row>
    <row r="42" customFormat="false" ht="33.75" hidden="false" customHeight="true" outlineLevel="0" collapsed="false">
      <c r="B42" s="9" t="n">
        <v>34</v>
      </c>
      <c r="C42" s="10" t="s">
        <v>124</v>
      </c>
      <c r="D42" s="10" t="s">
        <v>172</v>
      </c>
      <c r="E42" s="10" t="s">
        <v>173</v>
      </c>
      <c r="F42" s="11" t="s">
        <v>29</v>
      </c>
      <c r="G42" s="10" t="s">
        <v>174</v>
      </c>
      <c r="H42" s="10" t="s">
        <v>31</v>
      </c>
      <c r="I42" s="10" t="s">
        <v>175</v>
      </c>
      <c r="J42" s="10" t="s">
        <v>176</v>
      </c>
      <c r="K42" s="10"/>
      <c r="L42" s="12"/>
      <c r="M42" s="13" t="s">
        <v>177</v>
      </c>
    </row>
    <row r="43" customFormat="false" ht="33.75" hidden="false" customHeight="true" outlineLevel="0" collapsed="false">
      <c r="B43" s="9" t="n">
        <v>35</v>
      </c>
      <c r="C43" s="10" t="s">
        <v>178</v>
      </c>
      <c r="D43" s="10" t="s">
        <v>179</v>
      </c>
      <c r="E43" s="10" t="s">
        <v>59</v>
      </c>
      <c r="F43" s="11" t="s">
        <v>29</v>
      </c>
      <c r="G43" s="10" t="s">
        <v>180</v>
      </c>
      <c r="H43" s="10" t="s">
        <v>31</v>
      </c>
      <c r="I43" s="10" t="s">
        <v>181</v>
      </c>
      <c r="J43" s="10" t="s">
        <v>182</v>
      </c>
      <c r="K43" s="10"/>
      <c r="L43" s="12"/>
      <c r="M43" s="13" t="s">
        <v>128</v>
      </c>
    </row>
    <row r="44" customFormat="false" ht="33.75" hidden="false" customHeight="true" outlineLevel="0" collapsed="false">
      <c r="B44" s="9" t="n">
        <v>36</v>
      </c>
      <c r="C44" s="10" t="s">
        <v>183</v>
      </c>
      <c r="D44" s="10" t="s">
        <v>184</v>
      </c>
      <c r="E44" s="10" t="s">
        <v>185</v>
      </c>
      <c r="F44" s="11" t="s">
        <v>29</v>
      </c>
      <c r="G44" s="10" t="s">
        <v>30</v>
      </c>
      <c r="H44" s="10" t="s">
        <v>31</v>
      </c>
      <c r="I44" s="10" t="s">
        <v>186</v>
      </c>
      <c r="J44" s="10" t="s">
        <v>187</v>
      </c>
      <c r="K44" s="10"/>
      <c r="L44" s="12"/>
      <c r="M44" s="13" t="s">
        <v>116</v>
      </c>
    </row>
    <row r="45" customFormat="false" ht="33.75" hidden="false" customHeight="true" outlineLevel="0" collapsed="false">
      <c r="B45" s="9" t="n">
        <v>37</v>
      </c>
      <c r="C45" s="10" t="s">
        <v>183</v>
      </c>
      <c r="D45" s="10" t="s">
        <v>188</v>
      </c>
      <c r="E45" s="10" t="s">
        <v>189</v>
      </c>
      <c r="F45" s="11" t="s">
        <v>29</v>
      </c>
      <c r="G45" s="10" t="s">
        <v>30</v>
      </c>
      <c r="H45" s="10" t="s">
        <v>31</v>
      </c>
      <c r="I45" s="10" t="s">
        <v>190</v>
      </c>
      <c r="J45" s="10" t="s">
        <v>191</v>
      </c>
      <c r="K45" s="10"/>
      <c r="L45" s="12"/>
      <c r="M45" s="13" t="s">
        <v>192</v>
      </c>
    </row>
    <row r="46" customFormat="false" ht="33.75" hidden="false" customHeight="true" outlineLevel="0" collapsed="false">
      <c r="B46" s="9" t="n">
        <v>38</v>
      </c>
      <c r="C46" s="10" t="s">
        <v>193</v>
      </c>
      <c r="D46" s="10" t="s">
        <v>194</v>
      </c>
      <c r="E46" s="10" t="s">
        <v>59</v>
      </c>
      <c r="F46" s="11" t="s">
        <v>29</v>
      </c>
      <c r="G46" s="10" t="s">
        <v>174</v>
      </c>
      <c r="H46" s="10" t="s">
        <v>31</v>
      </c>
      <c r="I46" s="10" t="s">
        <v>175</v>
      </c>
      <c r="J46" s="10" t="s">
        <v>195</v>
      </c>
      <c r="K46" s="10"/>
      <c r="L46" s="12"/>
      <c r="M46" s="13" t="s">
        <v>148</v>
      </c>
    </row>
    <row r="47" customFormat="false" ht="33.75" hidden="false" customHeight="true" outlineLevel="0" collapsed="false">
      <c r="B47" s="9" t="n">
        <v>39</v>
      </c>
      <c r="C47" s="10" t="s">
        <v>193</v>
      </c>
      <c r="D47" s="10" t="s">
        <v>196</v>
      </c>
      <c r="E47" s="10" t="s">
        <v>59</v>
      </c>
      <c r="F47" s="11" t="s">
        <v>29</v>
      </c>
      <c r="G47" s="10" t="s">
        <v>174</v>
      </c>
      <c r="H47" s="10" t="s">
        <v>31</v>
      </c>
      <c r="I47" s="10" t="s">
        <v>197</v>
      </c>
      <c r="J47" s="10" t="s">
        <v>198</v>
      </c>
      <c r="K47" s="10"/>
      <c r="L47" s="12"/>
      <c r="M47" s="13" t="s">
        <v>199</v>
      </c>
    </row>
    <row r="48" customFormat="false" ht="33.75" hidden="false" customHeight="true" outlineLevel="0" collapsed="false">
      <c r="B48" s="9" t="n">
        <v>40</v>
      </c>
      <c r="C48" s="10" t="s">
        <v>193</v>
      </c>
      <c r="D48" s="10" t="s">
        <v>200</v>
      </c>
      <c r="E48" s="10" t="s">
        <v>31</v>
      </c>
      <c r="F48" s="11" t="s">
        <v>86</v>
      </c>
      <c r="G48" s="10" t="s">
        <v>201</v>
      </c>
      <c r="H48" s="10" t="s">
        <v>31</v>
      </c>
      <c r="I48" s="10" t="s">
        <v>31</v>
      </c>
      <c r="J48" s="10" t="s">
        <v>31</v>
      </c>
      <c r="K48" s="10" t="s">
        <v>202</v>
      </c>
      <c r="L48" s="12"/>
      <c r="M48" s="13" t="s">
        <v>31</v>
      </c>
    </row>
    <row r="49" customFormat="false" ht="33.75" hidden="false" customHeight="true" outlineLevel="0" collapsed="false">
      <c r="B49" s="9" t="n">
        <v>41</v>
      </c>
      <c r="C49" s="10" t="s">
        <v>203</v>
      </c>
      <c r="D49" s="10" t="s">
        <v>204</v>
      </c>
      <c r="E49" s="10" t="s">
        <v>205</v>
      </c>
      <c r="F49" s="11" t="s">
        <v>29</v>
      </c>
      <c r="G49" s="10" t="s">
        <v>206</v>
      </c>
      <c r="H49" s="10" t="s">
        <v>207</v>
      </c>
      <c r="I49" s="10" t="s">
        <v>208</v>
      </c>
      <c r="J49" s="10" t="s">
        <v>209</v>
      </c>
      <c r="K49" s="10"/>
      <c r="L49" s="12"/>
      <c r="M49" s="13" t="s">
        <v>156</v>
      </c>
    </row>
    <row r="50" customFormat="false" ht="33.75" hidden="false" customHeight="true" outlineLevel="0" collapsed="false">
      <c r="B50" s="9" t="n">
        <v>42</v>
      </c>
      <c r="C50" s="10" t="s">
        <v>203</v>
      </c>
      <c r="D50" s="10" t="s">
        <v>210</v>
      </c>
      <c r="E50" s="10" t="s">
        <v>211</v>
      </c>
      <c r="F50" s="11" t="s">
        <v>29</v>
      </c>
      <c r="G50" s="10" t="s">
        <v>174</v>
      </c>
      <c r="H50" s="10" t="s">
        <v>207</v>
      </c>
      <c r="I50" s="10" t="s">
        <v>212</v>
      </c>
      <c r="J50" s="10" t="s">
        <v>213</v>
      </c>
      <c r="K50" s="10"/>
      <c r="L50" s="12"/>
      <c r="M50" s="13" t="s">
        <v>156</v>
      </c>
    </row>
    <row r="51" customFormat="false" ht="33.75" hidden="false" customHeight="true" outlineLevel="0" collapsed="false">
      <c r="B51" s="9" t="n">
        <v>43</v>
      </c>
      <c r="C51" s="10" t="s">
        <v>203</v>
      </c>
      <c r="D51" s="10" t="s">
        <v>214</v>
      </c>
      <c r="E51" s="10" t="s">
        <v>59</v>
      </c>
      <c r="F51" s="11" t="s">
        <v>29</v>
      </c>
      <c r="G51" s="10" t="s">
        <v>215</v>
      </c>
      <c r="H51" s="10" t="s">
        <v>207</v>
      </c>
      <c r="I51" s="10" t="s">
        <v>216</v>
      </c>
      <c r="J51" s="10" t="s">
        <v>217</v>
      </c>
      <c r="K51" s="10"/>
      <c r="L51" s="12"/>
      <c r="M51" s="13" t="s">
        <v>218</v>
      </c>
    </row>
    <row r="52" customFormat="false" ht="33.75" hidden="false" customHeight="true" outlineLevel="0" collapsed="false">
      <c r="B52" s="9" t="n">
        <v>44</v>
      </c>
      <c r="C52" s="10" t="s">
        <v>203</v>
      </c>
      <c r="D52" s="10" t="s">
        <v>219</v>
      </c>
      <c r="E52" s="10" t="s">
        <v>220</v>
      </c>
      <c r="F52" s="11" t="s">
        <v>51</v>
      </c>
      <c r="G52" s="10" t="s">
        <v>206</v>
      </c>
      <c r="H52" s="10" t="s">
        <v>207</v>
      </c>
      <c r="I52" s="10" t="s">
        <v>212</v>
      </c>
      <c r="J52" s="10" t="s">
        <v>221</v>
      </c>
      <c r="K52" s="10" t="s">
        <v>222</v>
      </c>
      <c r="L52" s="12"/>
      <c r="M52" s="13" t="s">
        <v>156</v>
      </c>
    </row>
    <row r="53" customFormat="false" ht="48" hidden="false" customHeight="true" outlineLevel="0" collapsed="false">
      <c r="B53" s="9" t="n">
        <v>45</v>
      </c>
      <c r="C53" s="10" t="s">
        <v>203</v>
      </c>
      <c r="D53" s="10" t="s">
        <v>223</v>
      </c>
      <c r="E53" s="10" t="s">
        <v>59</v>
      </c>
      <c r="F53" s="11" t="s">
        <v>29</v>
      </c>
      <c r="G53" s="10" t="s">
        <v>174</v>
      </c>
      <c r="H53" s="10" t="s">
        <v>31</v>
      </c>
      <c r="I53" s="10" t="s">
        <v>175</v>
      </c>
      <c r="J53" s="10" t="s">
        <v>224</v>
      </c>
      <c r="K53" s="10"/>
      <c r="L53" s="12"/>
      <c r="M53" s="13" t="s">
        <v>225</v>
      </c>
    </row>
    <row r="54" customFormat="false" ht="33.75" hidden="false" customHeight="true" outlineLevel="0" collapsed="false">
      <c r="B54" s="9" t="n">
        <v>46</v>
      </c>
      <c r="C54" s="10" t="s">
        <v>203</v>
      </c>
      <c r="D54" s="10" t="s">
        <v>226</v>
      </c>
      <c r="E54" s="10" t="s">
        <v>59</v>
      </c>
      <c r="F54" s="11" t="s">
        <v>29</v>
      </c>
      <c r="G54" s="10" t="s">
        <v>206</v>
      </c>
      <c r="H54" s="10" t="s">
        <v>207</v>
      </c>
      <c r="I54" s="10" t="s">
        <v>227</v>
      </c>
      <c r="J54" s="10" t="s">
        <v>228</v>
      </c>
      <c r="K54" s="10"/>
      <c r="L54" s="12"/>
      <c r="M54" s="13" t="s">
        <v>192</v>
      </c>
    </row>
    <row r="55" customFormat="false" ht="33.75" hidden="false" customHeight="true" outlineLevel="0" collapsed="false">
      <c r="B55" s="9" t="n">
        <v>47</v>
      </c>
      <c r="C55" s="10" t="s">
        <v>203</v>
      </c>
      <c r="D55" s="10" t="s">
        <v>229</v>
      </c>
      <c r="E55" s="10" t="s">
        <v>59</v>
      </c>
      <c r="F55" s="11" t="s">
        <v>29</v>
      </c>
      <c r="G55" s="10" t="s">
        <v>174</v>
      </c>
      <c r="H55" s="10" t="s">
        <v>207</v>
      </c>
      <c r="I55" s="10" t="s">
        <v>212</v>
      </c>
      <c r="J55" s="10" t="s">
        <v>230</v>
      </c>
      <c r="K55" s="10"/>
      <c r="L55" s="12"/>
      <c r="M55" s="13" t="s">
        <v>231</v>
      </c>
    </row>
    <row r="56" customFormat="false" ht="48" hidden="false" customHeight="true" outlineLevel="0" collapsed="false">
      <c r="B56" s="9" t="n">
        <v>48</v>
      </c>
      <c r="C56" s="10" t="s">
        <v>232</v>
      </c>
      <c r="D56" s="10" t="s">
        <v>233</v>
      </c>
      <c r="E56" s="10" t="s">
        <v>234</v>
      </c>
      <c r="F56" s="11" t="s">
        <v>29</v>
      </c>
      <c r="G56" s="10" t="s">
        <v>235</v>
      </c>
      <c r="H56" s="10" t="s">
        <v>207</v>
      </c>
      <c r="I56" s="10" t="s">
        <v>236</v>
      </c>
      <c r="J56" s="10" t="s">
        <v>237</v>
      </c>
      <c r="K56" s="10"/>
      <c r="L56" s="12"/>
      <c r="M56" s="13" t="s">
        <v>238</v>
      </c>
    </row>
    <row r="57" customFormat="false" ht="33.75" hidden="false" customHeight="true" outlineLevel="0" collapsed="false">
      <c r="B57" s="9" t="n">
        <v>49</v>
      </c>
      <c r="C57" s="10" t="s">
        <v>232</v>
      </c>
      <c r="D57" s="10" t="s">
        <v>239</v>
      </c>
      <c r="E57" s="10" t="s">
        <v>240</v>
      </c>
      <c r="F57" s="11" t="s">
        <v>51</v>
      </c>
      <c r="G57" s="10" t="s">
        <v>206</v>
      </c>
      <c r="H57" s="10" t="s">
        <v>207</v>
      </c>
      <c r="I57" s="10" t="s">
        <v>241</v>
      </c>
      <c r="J57" s="10" t="s">
        <v>242</v>
      </c>
      <c r="K57" s="10" t="s">
        <v>243</v>
      </c>
      <c r="L57" s="12"/>
      <c r="M57" s="13" t="s">
        <v>244</v>
      </c>
    </row>
    <row r="58" customFormat="false" ht="33.75" hidden="false" customHeight="true" outlineLevel="0" collapsed="false">
      <c r="B58" s="9" t="n">
        <v>50</v>
      </c>
      <c r="C58" s="10" t="s">
        <v>232</v>
      </c>
      <c r="D58" s="10" t="s">
        <v>245</v>
      </c>
      <c r="E58" s="10" t="s">
        <v>246</v>
      </c>
      <c r="F58" s="11" t="s">
        <v>51</v>
      </c>
      <c r="G58" s="10" t="s">
        <v>235</v>
      </c>
      <c r="H58" s="10" t="s">
        <v>207</v>
      </c>
      <c r="I58" s="10" t="s">
        <v>241</v>
      </c>
      <c r="J58" s="10" t="s">
        <v>247</v>
      </c>
      <c r="K58" s="10" t="s">
        <v>248</v>
      </c>
      <c r="L58" s="12"/>
      <c r="M58" s="13" t="s">
        <v>249</v>
      </c>
    </row>
    <row r="59" customFormat="false" ht="48" hidden="false" customHeight="true" outlineLevel="0" collapsed="false">
      <c r="B59" s="9" t="n">
        <v>51</v>
      </c>
      <c r="C59" s="10" t="s">
        <v>232</v>
      </c>
      <c r="D59" s="10" t="s">
        <v>250</v>
      </c>
      <c r="E59" s="10" t="s">
        <v>251</v>
      </c>
      <c r="F59" s="11" t="s">
        <v>29</v>
      </c>
      <c r="G59" s="10" t="s">
        <v>174</v>
      </c>
      <c r="H59" s="10" t="s">
        <v>31</v>
      </c>
      <c r="I59" s="10" t="s">
        <v>175</v>
      </c>
      <c r="J59" s="10" t="s">
        <v>252</v>
      </c>
      <c r="K59" s="10"/>
      <c r="L59" s="12"/>
      <c r="M59" s="13" t="s">
        <v>253</v>
      </c>
    </row>
    <row r="60" customFormat="false" ht="33.75" hidden="false" customHeight="true" outlineLevel="0" collapsed="false">
      <c r="B60" s="9" t="n">
        <v>52</v>
      </c>
      <c r="C60" s="10" t="s">
        <v>232</v>
      </c>
      <c r="D60" s="10" t="s">
        <v>254</v>
      </c>
      <c r="E60" s="10" t="s">
        <v>59</v>
      </c>
      <c r="F60" s="11" t="s">
        <v>29</v>
      </c>
      <c r="G60" s="10" t="s">
        <v>174</v>
      </c>
      <c r="H60" s="10" t="s">
        <v>207</v>
      </c>
      <c r="I60" s="10" t="s">
        <v>255</v>
      </c>
      <c r="J60" s="10" t="s">
        <v>256</v>
      </c>
      <c r="K60" s="10"/>
      <c r="L60" s="12"/>
      <c r="M60" s="13" t="s">
        <v>249</v>
      </c>
    </row>
    <row r="61" customFormat="false" ht="33.75" hidden="false" customHeight="true" outlineLevel="0" collapsed="false">
      <c r="B61" s="9" t="n">
        <v>53</v>
      </c>
      <c r="C61" s="10" t="s">
        <v>232</v>
      </c>
      <c r="D61" s="10" t="s">
        <v>257</v>
      </c>
      <c r="E61" s="10" t="s">
        <v>59</v>
      </c>
      <c r="F61" s="11" t="s">
        <v>29</v>
      </c>
      <c r="G61" s="10" t="s">
        <v>235</v>
      </c>
      <c r="H61" s="10" t="s">
        <v>207</v>
      </c>
      <c r="I61" s="10" t="s">
        <v>258</v>
      </c>
      <c r="J61" s="10" t="s">
        <v>259</v>
      </c>
      <c r="K61" s="10"/>
      <c r="L61" s="12"/>
      <c r="M61" s="13"/>
    </row>
    <row r="62" customFormat="false" ht="48" hidden="false" customHeight="true" outlineLevel="0" collapsed="false">
      <c r="B62" s="9" t="n">
        <v>54</v>
      </c>
      <c r="C62" s="10" t="s">
        <v>232</v>
      </c>
      <c r="D62" s="10" t="s">
        <v>260</v>
      </c>
      <c r="E62" s="10" t="s">
        <v>261</v>
      </c>
      <c r="F62" s="11" t="s">
        <v>51</v>
      </c>
      <c r="G62" s="10" t="s">
        <v>206</v>
      </c>
      <c r="H62" s="10" t="s">
        <v>207</v>
      </c>
      <c r="I62" s="10" t="s">
        <v>241</v>
      </c>
      <c r="J62" s="10" t="s">
        <v>262</v>
      </c>
      <c r="K62" s="10" t="s">
        <v>263</v>
      </c>
      <c r="L62" s="12"/>
      <c r="M62" s="13" t="s">
        <v>253</v>
      </c>
    </row>
    <row r="63" customFormat="false" ht="48" hidden="false" customHeight="true" outlineLevel="0" collapsed="false">
      <c r="B63" s="9" t="n">
        <v>55</v>
      </c>
      <c r="C63" s="10" t="s">
        <v>264</v>
      </c>
      <c r="D63" s="10" t="s">
        <v>265</v>
      </c>
      <c r="E63" s="10" t="s">
        <v>266</v>
      </c>
      <c r="F63" s="11" t="s">
        <v>51</v>
      </c>
      <c r="G63" s="10" t="s">
        <v>235</v>
      </c>
      <c r="H63" s="10" t="s">
        <v>207</v>
      </c>
      <c r="I63" s="10" t="s">
        <v>267</v>
      </c>
      <c r="J63" s="10" t="s">
        <v>268</v>
      </c>
      <c r="K63" s="10" t="s">
        <v>269</v>
      </c>
      <c r="L63" s="12"/>
      <c r="M63" s="13" t="s">
        <v>270</v>
      </c>
    </row>
    <row r="64" customFormat="false" ht="48" hidden="false" customHeight="true" outlineLevel="0" collapsed="false">
      <c r="B64" s="9" t="n">
        <v>56</v>
      </c>
      <c r="C64" s="10" t="s">
        <v>271</v>
      </c>
      <c r="D64" s="10" t="s">
        <v>272</v>
      </c>
      <c r="E64" s="10" t="s">
        <v>59</v>
      </c>
      <c r="F64" s="11" t="s">
        <v>29</v>
      </c>
      <c r="G64" s="10" t="s">
        <v>174</v>
      </c>
      <c r="H64" s="10" t="s">
        <v>31</v>
      </c>
      <c r="I64" s="10" t="s">
        <v>175</v>
      </c>
      <c r="J64" s="10" t="s">
        <v>273</v>
      </c>
      <c r="K64" s="10" t="s">
        <v>274</v>
      </c>
      <c r="L64" s="12"/>
      <c r="M64" s="13" t="s">
        <v>275</v>
      </c>
    </row>
    <row r="65" customFormat="false" ht="25.5" hidden="false" customHeight="true" outlineLevel="0" collapsed="false">
      <c r="B65" s="9" t="n">
        <v>57</v>
      </c>
      <c r="C65" s="10" t="s">
        <v>271</v>
      </c>
      <c r="D65" s="10" t="s">
        <v>276</v>
      </c>
      <c r="E65" s="10" t="s">
        <v>59</v>
      </c>
      <c r="F65" s="11" t="s">
        <v>29</v>
      </c>
      <c r="G65" s="10" t="s">
        <v>174</v>
      </c>
      <c r="H65" s="10" t="s">
        <v>31</v>
      </c>
      <c r="I65" s="10" t="s">
        <v>175</v>
      </c>
      <c r="J65" s="10" t="s">
        <v>277</v>
      </c>
      <c r="K65" s="10"/>
      <c r="L65" s="12"/>
      <c r="M65" s="13" t="s">
        <v>270</v>
      </c>
    </row>
    <row r="66" customFormat="false" ht="33.75" hidden="false" customHeight="true" outlineLevel="0" collapsed="false">
      <c r="B66" s="9" t="n">
        <v>58</v>
      </c>
      <c r="C66" s="10" t="s">
        <v>278</v>
      </c>
      <c r="D66" s="10" t="s">
        <v>279</v>
      </c>
      <c r="E66" s="10" t="s">
        <v>31</v>
      </c>
      <c r="F66" s="11" t="s">
        <v>86</v>
      </c>
      <c r="G66" s="10" t="s">
        <v>180</v>
      </c>
      <c r="H66" s="10" t="s">
        <v>207</v>
      </c>
      <c r="I66" s="10" t="s">
        <v>31</v>
      </c>
      <c r="J66" s="10" t="s">
        <v>31</v>
      </c>
      <c r="K66" s="10" t="s">
        <v>280</v>
      </c>
      <c r="L66" s="12"/>
      <c r="M66" s="13" t="s">
        <v>270</v>
      </c>
    </row>
    <row r="67" customFormat="false" ht="33.75" hidden="false" customHeight="true" outlineLevel="0" collapsed="false">
      <c r="B67" s="9" t="n">
        <v>59</v>
      </c>
      <c r="C67" s="10" t="s">
        <v>278</v>
      </c>
      <c r="D67" s="10" t="s">
        <v>281</v>
      </c>
      <c r="E67" s="10" t="s">
        <v>282</v>
      </c>
      <c r="F67" s="11" t="s">
        <v>51</v>
      </c>
      <c r="G67" s="10" t="s">
        <v>235</v>
      </c>
      <c r="H67" s="10" t="s">
        <v>207</v>
      </c>
      <c r="I67" s="10" t="s">
        <v>255</v>
      </c>
      <c r="J67" s="10" t="s">
        <v>283</v>
      </c>
      <c r="K67" s="10" t="s">
        <v>284</v>
      </c>
      <c r="L67" s="12"/>
      <c r="M67" s="13" t="s">
        <v>270</v>
      </c>
    </row>
    <row r="68" customFormat="false" ht="33.75" hidden="false" customHeight="true" outlineLevel="0" collapsed="false">
      <c r="B68" s="9" t="n">
        <v>60</v>
      </c>
      <c r="C68" s="10" t="s">
        <v>285</v>
      </c>
      <c r="D68" s="10" t="s">
        <v>286</v>
      </c>
      <c r="E68" s="10" t="s">
        <v>59</v>
      </c>
      <c r="F68" s="11" t="s">
        <v>29</v>
      </c>
      <c r="G68" s="10" t="s">
        <v>174</v>
      </c>
      <c r="H68" s="10" t="s">
        <v>207</v>
      </c>
      <c r="I68" s="10" t="s">
        <v>287</v>
      </c>
      <c r="J68" s="10" t="s">
        <v>288</v>
      </c>
      <c r="K68" s="10"/>
      <c r="L68" s="12"/>
      <c r="M68" s="13" t="s">
        <v>289</v>
      </c>
    </row>
    <row r="69" customFormat="false" ht="33.75" hidden="false" customHeight="true" outlineLevel="0" collapsed="false">
      <c r="B69" s="9" t="n">
        <v>61</v>
      </c>
      <c r="C69" s="10" t="s">
        <v>285</v>
      </c>
      <c r="D69" s="10" t="s">
        <v>290</v>
      </c>
      <c r="E69" s="10" t="s">
        <v>31</v>
      </c>
      <c r="F69" s="11" t="s">
        <v>86</v>
      </c>
      <c r="G69" s="10" t="s">
        <v>174</v>
      </c>
      <c r="H69" s="10" t="s">
        <v>207</v>
      </c>
      <c r="I69" s="10" t="s">
        <v>31</v>
      </c>
      <c r="J69" s="10" t="s">
        <v>31</v>
      </c>
      <c r="K69" s="10" t="s">
        <v>291</v>
      </c>
      <c r="L69" s="12"/>
      <c r="M69" s="13" t="s">
        <v>289</v>
      </c>
    </row>
    <row r="70" customFormat="false" ht="33.75" hidden="false" customHeight="true" outlineLevel="0" collapsed="false">
      <c r="B70" s="9" t="n">
        <v>62</v>
      </c>
      <c r="C70" s="10" t="s">
        <v>285</v>
      </c>
      <c r="D70" s="10" t="s">
        <v>292</v>
      </c>
      <c r="E70" s="10" t="s">
        <v>293</v>
      </c>
      <c r="F70" s="11" t="s">
        <v>294</v>
      </c>
      <c r="G70" s="10" t="s">
        <v>174</v>
      </c>
      <c r="H70" s="10" t="s">
        <v>207</v>
      </c>
      <c r="I70" s="10" t="s">
        <v>31</v>
      </c>
      <c r="J70" s="10" t="s">
        <v>31</v>
      </c>
      <c r="K70" s="10" t="s">
        <v>295</v>
      </c>
      <c r="L70" s="12"/>
      <c r="M70" s="13" t="s">
        <v>31</v>
      </c>
    </row>
    <row r="71" customFormat="false" ht="48" hidden="false" customHeight="true" outlineLevel="0" collapsed="false">
      <c r="B71" s="9" t="n">
        <v>63</v>
      </c>
      <c r="C71" s="10" t="s">
        <v>296</v>
      </c>
      <c r="D71" s="10" t="s">
        <v>297</v>
      </c>
      <c r="E71" s="10" t="s">
        <v>59</v>
      </c>
      <c r="F71" s="11" t="s">
        <v>29</v>
      </c>
      <c r="G71" s="10" t="s">
        <v>30</v>
      </c>
      <c r="H71" s="10" t="s">
        <v>31</v>
      </c>
      <c r="I71" s="10" t="s">
        <v>298</v>
      </c>
      <c r="J71" s="10" t="s">
        <v>299</v>
      </c>
      <c r="K71" s="10"/>
      <c r="L71" s="12"/>
      <c r="M71" s="13" t="s">
        <v>300</v>
      </c>
    </row>
    <row r="72" customFormat="false" ht="48" hidden="false" customHeight="true" outlineLevel="0" collapsed="false">
      <c r="B72" s="9" t="n">
        <v>64</v>
      </c>
      <c r="C72" s="10" t="s">
        <v>296</v>
      </c>
      <c r="D72" s="10" t="s">
        <v>301</v>
      </c>
      <c r="E72" s="10" t="s">
        <v>59</v>
      </c>
      <c r="F72" s="11" t="s">
        <v>29</v>
      </c>
      <c r="G72" s="10" t="s">
        <v>30</v>
      </c>
      <c r="H72" s="10" t="s">
        <v>31</v>
      </c>
      <c r="I72" s="10" t="s">
        <v>298</v>
      </c>
      <c r="J72" s="10" t="s">
        <v>302</v>
      </c>
      <c r="K72" s="10"/>
      <c r="L72" s="12"/>
      <c r="M72" s="13" t="s">
        <v>300</v>
      </c>
    </row>
    <row r="73" customFormat="false" ht="33.75" hidden="false" customHeight="true" outlineLevel="0" collapsed="false">
      <c r="B73" s="9" t="n">
        <v>65</v>
      </c>
      <c r="C73" s="10" t="s">
        <v>303</v>
      </c>
      <c r="D73" s="10" t="s">
        <v>304</v>
      </c>
      <c r="E73" s="10" t="s">
        <v>59</v>
      </c>
      <c r="F73" s="11" t="s">
        <v>29</v>
      </c>
      <c r="G73" s="10" t="s">
        <v>30</v>
      </c>
      <c r="H73" s="10" t="s">
        <v>31</v>
      </c>
      <c r="I73" s="10" t="s">
        <v>305</v>
      </c>
      <c r="J73" s="10" t="s">
        <v>115</v>
      </c>
      <c r="K73" s="10"/>
      <c r="L73" s="12"/>
      <c r="M73" s="13" t="s">
        <v>306</v>
      </c>
    </row>
    <row r="74" customFormat="false" ht="33.75" hidden="false" customHeight="true" outlineLevel="0" collapsed="false">
      <c r="B74" s="9" t="n">
        <v>66</v>
      </c>
      <c r="C74" s="10" t="s">
        <v>303</v>
      </c>
      <c r="D74" s="10" t="s">
        <v>307</v>
      </c>
      <c r="E74" s="10" t="s">
        <v>308</v>
      </c>
      <c r="F74" s="11" t="s">
        <v>51</v>
      </c>
      <c r="G74" s="10" t="s">
        <v>30</v>
      </c>
      <c r="H74" s="10" t="s">
        <v>31</v>
      </c>
      <c r="I74" s="10" t="s">
        <v>305</v>
      </c>
      <c r="J74" s="10" t="s">
        <v>309</v>
      </c>
      <c r="K74" s="10" t="s">
        <v>310</v>
      </c>
      <c r="L74" s="12"/>
      <c r="M74" s="13" t="s">
        <v>300</v>
      </c>
    </row>
    <row r="75" customFormat="false" ht="25.5" hidden="false" customHeight="true" outlineLevel="0" collapsed="false">
      <c r="B75" s="9" t="n">
        <v>67</v>
      </c>
      <c r="C75" s="10" t="s">
        <v>303</v>
      </c>
      <c r="D75" s="10" t="s">
        <v>311</v>
      </c>
      <c r="E75" s="10" t="s">
        <v>59</v>
      </c>
      <c r="F75" s="11" t="s">
        <v>29</v>
      </c>
      <c r="G75" s="10" t="s">
        <v>30</v>
      </c>
      <c r="H75" s="10" t="s">
        <v>31</v>
      </c>
      <c r="I75" s="10" t="s">
        <v>312</v>
      </c>
      <c r="J75" s="10" t="s">
        <v>313</v>
      </c>
      <c r="K75" s="10"/>
      <c r="L75" s="12"/>
      <c r="M75" s="13" t="s">
        <v>300</v>
      </c>
    </row>
    <row r="76" customFormat="false" ht="33.75" hidden="false" customHeight="true" outlineLevel="0" collapsed="false">
      <c r="B76" s="9" t="n">
        <v>68</v>
      </c>
      <c r="C76" s="10" t="s">
        <v>303</v>
      </c>
      <c r="D76" s="10" t="s">
        <v>314</v>
      </c>
      <c r="E76" s="10" t="s">
        <v>59</v>
      </c>
      <c r="F76" s="11" t="s">
        <v>29</v>
      </c>
      <c r="G76" s="10" t="s">
        <v>76</v>
      </c>
      <c r="H76" s="10" t="s">
        <v>31</v>
      </c>
      <c r="I76" s="10" t="s">
        <v>305</v>
      </c>
      <c r="J76" s="10" t="s">
        <v>315</v>
      </c>
      <c r="K76" s="10"/>
      <c r="L76" s="12"/>
      <c r="M76" s="13" t="s">
        <v>316</v>
      </c>
    </row>
    <row r="77" customFormat="false" ht="33.75" hidden="false" customHeight="true" outlineLevel="0" collapsed="false">
      <c r="B77" s="9" t="n">
        <v>69</v>
      </c>
      <c r="C77" s="10" t="s">
        <v>317</v>
      </c>
      <c r="D77" s="10" t="s">
        <v>318</v>
      </c>
      <c r="E77" s="10" t="s">
        <v>319</v>
      </c>
      <c r="F77" s="11" t="s">
        <v>51</v>
      </c>
      <c r="G77" s="10" t="s">
        <v>30</v>
      </c>
      <c r="H77" s="10" t="s">
        <v>31</v>
      </c>
      <c r="I77" s="10" t="s">
        <v>320</v>
      </c>
      <c r="J77" s="10" t="s">
        <v>321</v>
      </c>
      <c r="K77" s="10" t="s">
        <v>322</v>
      </c>
      <c r="L77" s="12"/>
      <c r="M77" s="13" t="s">
        <v>323</v>
      </c>
    </row>
    <row r="78" customFormat="false" ht="33.75" hidden="false" customHeight="true" outlineLevel="0" collapsed="false">
      <c r="B78" s="9" t="n">
        <v>70</v>
      </c>
      <c r="C78" s="10" t="s">
        <v>317</v>
      </c>
      <c r="D78" s="10" t="s">
        <v>324</v>
      </c>
      <c r="E78" s="10" t="s">
        <v>59</v>
      </c>
      <c r="F78" s="11" t="s">
        <v>29</v>
      </c>
      <c r="G78" s="10" t="s">
        <v>30</v>
      </c>
      <c r="H78" s="10" t="s">
        <v>31</v>
      </c>
      <c r="I78" s="10" t="s">
        <v>317</v>
      </c>
      <c r="J78" s="10" t="s">
        <v>115</v>
      </c>
      <c r="K78" s="10"/>
      <c r="L78" s="12"/>
      <c r="M78" s="13" t="s">
        <v>323</v>
      </c>
    </row>
    <row r="79" customFormat="false" ht="25.5" hidden="false" customHeight="true" outlineLevel="0" collapsed="false">
      <c r="B79" s="9" t="n">
        <v>71</v>
      </c>
      <c r="C79" s="10" t="s">
        <v>317</v>
      </c>
      <c r="D79" s="10" t="s">
        <v>325</v>
      </c>
      <c r="E79" s="10" t="s">
        <v>326</v>
      </c>
      <c r="F79" s="11" t="s">
        <v>51</v>
      </c>
      <c r="G79" s="10" t="s">
        <v>30</v>
      </c>
      <c r="H79" s="10" t="s">
        <v>31</v>
      </c>
      <c r="I79" s="10" t="s">
        <v>317</v>
      </c>
      <c r="J79" s="10" t="s">
        <v>327</v>
      </c>
      <c r="K79" s="10" t="s">
        <v>328</v>
      </c>
      <c r="L79" s="12"/>
      <c r="M79" s="13" t="s">
        <v>323</v>
      </c>
    </row>
    <row r="80" customFormat="false" ht="48" hidden="false" customHeight="true" outlineLevel="0" collapsed="false">
      <c r="B80" s="9" t="n">
        <v>72</v>
      </c>
      <c r="C80" s="10" t="s">
        <v>317</v>
      </c>
      <c r="D80" s="10" t="s">
        <v>329</v>
      </c>
      <c r="E80" s="10" t="s">
        <v>330</v>
      </c>
      <c r="F80" s="11" t="s">
        <v>51</v>
      </c>
      <c r="G80" s="10" t="s">
        <v>30</v>
      </c>
      <c r="H80" s="10" t="s">
        <v>31</v>
      </c>
      <c r="I80" s="10" t="s">
        <v>331</v>
      </c>
      <c r="J80" s="10" t="s">
        <v>332</v>
      </c>
      <c r="K80" s="10" t="s">
        <v>333</v>
      </c>
      <c r="L80" s="12"/>
      <c r="M80" s="13" t="s">
        <v>334</v>
      </c>
    </row>
    <row r="81" customFormat="false" ht="33.75" hidden="false" customHeight="true" outlineLevel="0" collapsed="false">
      <c r="B81" s="9" t="n">
        <v>73</v>
      </c>
      <c r="C81" s="10" t="s">
        <v>317</v>
      </c>
      <c r="D81" s="10" t="s">
        <v>335</v>
      </c>
      <c r="E81" s="10" t="s">
        <v>336</v>
      </c>
      <c r="F81" s="11" t="s">
        <v>51</v>
      </c>
      <c r="G81" s="10" t="s">
        <v>30</v>
      </c>
      <c r="H81" s="10" t="s">
        <v>31</v>
      </c>
      <c r="I81" s="10" t="s">
        <v>317</v>
      </c>
      <c r="J81" s="10" t="s">
        <v>337</v>
      </c>
      <c r="K81" s="10" t="s">
        <v>338</v>
      </c>
      <c r="L81" s="12"/>
      <c r="M81" s="13" t="s">
        <v>323</v>
      </c>
    </row>
    <row r="82" customFormat="false" ht="48" hidden="false" customHeight="true" outlineLevel="0" collapsed="false">
      <c r="B82" s="9" t="n">
        <v>74</v>
      </c>
      <c r="C82" s="10" t="s">
        <v>317</v>
      </c>
      <c r="D82" s="10" t="s">
        <v>339</v>
      </c>
      <c r="E82" s="10" t="s">
        <v>340</v>
      </c>
      <c r="F82" s="11" t="s">
        <v>51</v>
      </c>
      <c r="G82" s="10" t="s">
        <v>87</v>
      </c>
      <c r="H82" s="10" t="s">
        <v>31</v>
      </c>
      <c r="I82" s="10" t="s">
        <v>341</v>
      </c>
      <c r="J82" s="10" t="s">
        <v>342</v>
      </c>
      <c r="K82" s="10" t="s">
        <v>343</v>
      </c>
      <c r="L82" s="12"/>
      <c r="M82" s="13" t="s">
        <v>323</v>
      </c>
    </row>
    <row r="83" customFormat="false" ht="33.75" hidden="false" customHeight="true" outlineLevel="0" collapsed="false">
      <c r="B83" s="9" t="n">
        <v>75</v>
      </c>
      <c r="C83" s="10" t="s">
        <v>317</v>
      </c>
      <c r="D83" s="10" t="s">
        <v>344</v>
      </c>
      <c r="E83" s="10" t="s">
        <v>345</v>
      </c>
      <c r="F83" s="11" t="s">
        <v>51</v>
      </c>
      <c r="G83" s="10" t="s">
        <v>30</v>
      </c>
      <c r="H83" s="10" t="s">
        <v>31</v>
      </c>
      <c r="I83" s="10" t="s">
        <v>346</v>
      </c>
      <c r="J83" s="10" t="s">
        <v>347</v>
      </c>
      <c r="K83" s="10" t="s">
        <v>348</v>
      </c>
      <c r="L83" s="12"/>
      <c r="M83" s="13" t="s">
        <v>323</v>
      </c>
    </row>
    <row r="84" customFormat="false" ht="33.75" hidden="false" customHeight="true" outlineLevel="0" collapsed="false">
      <c r="B84" s="9" t="n">
        <v>76</v>
      </c>
      <c r="C84" s="10" t="s">
        <v>349</v>
      </c>
      <c r="D84" s="10" t="s">
        <v>350</v>
      </c>
      <c r="E84" s="10" t="s">
        <v>59</v>
      </c>
      <c r="F84" s="11" t="s">
        <v>29</v>
      </c>
      <c r="G84" s="10" t="s">
        <v>30</v>
      </c>
      <c r="H84" s="10" t="s">
        <v>31</v>
      </c>
      <c r="I84" s="10" t="s">
        <v>351</v>
      </c>
      <c r="J84" s="10" t="s">
        <v>352</v>
      </c>
      <c r="K84" s="10"/>
      <c r="L84" s="12"/>
      <c r="M84" s="13" t="s">
        <v>353</v>
      </c>
    </row>
    <row r="85" customFormat="false" ht="25.5" hidden="false" customHeight="true" outlineLevel="0" collapsed="false">
      <c r="B85" s="9" t="n">
        <v>77</v>
      </c>
      <c r="C85" s="10" t="s">
        <v>349</v>
      </c>
      <c r="D85" s="10" t="s">
        <v>354</v>
      </c>
      <c r="E85" s="10" t="s">
        <v>355</v>
      </c>
      <c r="F85" s="11" t="s">
        <v>51</v>
      </c>
      <c r="G85" s="10" t="s">
        <v>30</v>
      </c>
      <c r="H85" s="10" t="s">
        <v>31</v>
      </c>
      <c r="I85" s="10" t="s">
        <v>356</v>
      </c>
      <c r="J85" s="10" t="s">
        <v>357</v>
      </c>
      <c r="K85" s="10" t="s">
        <v>358</v>
      </c>
      <c r="L85" s="12"/>
      <c r="M85" s="13" t="s">
        <v>353</v>
      </c>
    </row>
    <row r="86" customFormat="false" ht="33.75" hidden="false" customHeight="true" outlineLevel="0" collapsed="false">
      <c r="B86" s="9" t="n">
        <v>78</v>
      </c>
      <c r="C86" s="10" t="s">
        <v>349</v>
      </c>
      <c r="D86" s="10" t="s">
        <v>359</v>
      </c>
      <c r="E86" s="10" t="s">
        <v>360</v>
      </c>
      <c r="F86" s="11" t="s">
        <v>86</v>
      </c>
      <c r="G86" s="10" t="s">
        <v>87</v>
      </c>
      <c r="H86" s="10" t="s">
        <v>31</v>
      </c>
      <c r="I86" s="10" t="s">
        <v>31</v>
      </c>
      <c r="J86" s="10" t="s">
        <v>31</v>
      </c>
      <c r="K86" s="10" t="s">
        <v>361</v>
      </c>
      <c r="L86" s="12"/>
      <c r="M86" s="13" t="s">
        <v>353</v>
      </c>
    </row>
    <row r="87" customFormat="false" ht="25.5" hidden="false" customHeight="true" outlineLevel="0" collapsed="false">
      <c r="B87" s="9" t="n">
        <v>79</v>
      </c>
      <c r="C87" s="10" t="s">
        <v>349</v>
      </c>
      <c r="D87" s="10" t="s">
        <v>362</v>
      </c>
      <c r="E87" s="10" t="s">
        <v>31</v>
      </c>
      <c r="F87" s="11" t="s">
        <v>86</v>
      </c>
      <c r="G87" s="10" t="s">
        <v>30</v>
      </c>
      <c r="H87" s="10" t="s">
        <v>31</v>
      </c>
      <c r="I87" s="10" t="s">
        <v>31</v>
      </c>
      <c r="J87" s="10" t="s">
        <v>31</v>
      </c>
      <c r="K87" s="10" t="s">
        <v>363</v>
      </c>
      <c r="L87" s="12"/>
      <c r="M87" s="13" t="s">
        <v>353</v>
      </c>
    </row>
    <row r="88" customFormat="false" ht="33.75" hidden="false" customHeight="true" outlineLevel="0" collapsed="false">
      <c r="B88" s="9" t="n">
        <v>80</v>
      </c>
      <c r="C88" s="10" t="s">
        <v>364</v>
      </c>
      <c r="D88" s="10" t="s">
        <v>365</v>
      </c>
      <c r="E88" s="10" t="s">
        <v>366</v>
      </c>
      <c r="F88" s="11" t="s">
        <v>29</v>
      </c>
      <c r="G88" s="10" t="s">
        <v>235</v>
      </c>
      <c r="H88" s="10" t="s">
        <v>207</v>
      </c>
      <c r="I88" s="10" t="s">
        <v>255</v>
      </c>
      <c r="J88" s="10" t="s">
        <v>367</v>
      </c>
      <c r="K88" s="10"/>
      <c r="L88" s="12"/>
      <c r="M88" s="13" t="s">
        <v>353</v>
      </c>
    </row>
    <row r="89" customFormat="false" ht="33.75" hidden="false" customHeight="true" outlineLevel="0" collapsed="false">
      <c r="B89" s="9" t="n">
        <v>81</v>
      </c>
      <c r="C89" s="10" t="s">
        <v>364</v>
      </c>
      <c r="D89" s="10" t="s">
        <v>368</v>
      </c>
      <c r="E89" s="10" t="s">
        <v>31</v>
      </c>
      <c r="F89" s="11" t="s">
        <v>86</v>
      </c>
      <c r="G89" s="10" t="s">
        <v>235</v>
      </c>
      <c r="H89" s="10" t="s">
        <v>207</v>
      </c>
      <c r="I89" s="10" t="s">
        <v>31</v>
      </c>
      <c r="J89" s="10" t="s">
        <v>31</v>
      </c>
      <c r="K89" s="10" t="s">
        <v>369</v>
      </c>
      <c r="L89" s="12"/>
      <c r="M89" s="13" t="s">
        <v>353</v>
      </c>
    </row>
    <row r="90" customFormat="false" ht="48" hidden="false" customHeight="true" outlineLevel="0" collapsed="false">
      <c r="B90" s="9" t="n">
        <v>82</v>
      </c>
      <c r="C90" s="10" t="s">
        <v>364</v>
      </c>
      <c r="D90" s="10" t="s">
        <v>370</v>
      </c>
      <c r="E90" s="10" t="s">
        <v>59</v>
      </c>
      <c r="F90" s="11" t="s">
        <v>29</v>
      </c>
      <c r="G90" s="10" t="s">
        <v>174</v>
      </c>
      <c r="H90" s="10" t="s">
        <v>31</v>
      </c>
      <c r="I90" s="10" t="s">
        <v>175</v>
      </c>
      <c r="J90" s="10" t="s">
        <v>252</v>
      </c>
      <c r="K90" s="10"/>
      <c r="L90" s="12"/>
      <c r="M90" s="13" t="s">
        <v>371</v>
      </c>
    </row>
    <row r="91" customFormat="false" ht="48" hidden="false" customHeight="true" outlineLevel="0" collapsed="false">
      <c r="B91" s="9" t="n">
        <v>83</v>
      </c>
      <c r="C91" s="10" t="s">
        <v>372</v>
      </c>
      <c r="D91" s="10" t="s">
        <v>373</v>
      </c>
      <c r="E91" s="10" t="s">
        <v>59</v>
      </c>
      <c r="F91" s="11" t="s">
        <v>29</v>
      </c>
      <c r="G91" s="10" t="s">
        <v>206</v>
      </c>
      <c r="H91" s="10" t="s">
        <v>207</v>
      </c>
      <c r="I91" s="10" t="s">
        <v>374</v>
      </c>
      <c r="J91" s="10" t="s">
        <v>375</v>
      </c>
      <c r="K91" s="10"/>
      <c r="L91" s="12"/>
      <c r="M91" s="13" t="s">
        <v>376</v>
      </c>
    </row>
    <row r="92" customFormat="false" ht="33.75" hidden="false" customHeight="true" outlineLevel="0" collapsed="false">
      <c r="B92" s="9" t="n">
        <v>84</v>
      </c>
      <c r="C92" s="10" t="s">
        <v>372</v>
      </c>
      <c r="D92" s="10" t="s">
        <v>377</v>
      </c>
      <c r="E92" s="10" t="s">
        <v>378</v>
      </c>
      <c r="F92" s="11" t="s">
        <v>294</v>
      </c>
      <c r="G92" s="10" t="s">
        <v>174</v>
      </c>
      <c r="H92" s="10" t="s">
        <v>207</v>
      </c>
      <c r="I92" s="10" t="s">
        <v>31</v>
      </c>
      <c r="J92" s="10" t="s">
        <v>31</v>
      </c>
      <c r="K92" s="10" t="s">
        <v>379</v>
      </c>
      <c r="L92" s="12"/>
      <c r="M92" s="13" t="s">
        <v>376</v>
      </c>
    </row>
    <row r="93" customFormat="false" ht="33.75" hidden="false" customHeight="true" outlineLevel="0" collapsed="false">
      <c r="B93" s="9" t="n">
        <v>85</v>
      </c>
      <c r="C93" s="10" t="s">
        <v>372</v>
      </c>
      <c r="D93" s="10" t="s">
        <v>380</v>
      </c>
      <c r="E93" s="10" t="s">
        <v>381</v>
      </c>
      <c r="F93" s="11" t="s">
        <v>51</v>
      </c>
      <c r="G93" s="10" t="s">
        <v>206</v>
      </c>
      <c r="H93" s="10" t="s">
        <v>207</v>
      </c>
      <c r="I93" s="10" t="s">
        <v>374</v>
      </c>
      <c r="J93" s="10" t="s">
        <v>375</v>
      </c>
      <c r="K93" s="10" t="s">
        <v>382</v>
      </c>
      <c r="L93" s="12"/>
      <c r="M93" s="13" t="s">
        <v>376</v>
      </c>
    </row>
    <row r="94" customFormat="false" ht="48" hidden="false" customHeight="true" outlineLevel="0" collapsed="false">
      <c r="B94" s="9" t="n">
        <v>86</v>
      </c>
      <c r="C94" s="10" t="s">
        <v>383</v>
      </c>
      <c r="D94" s="10" t="s">
        <v>384</v>
      </c>
      <c r="E94" s="10" t="s">
        <v>59</v>
      </c>
      <c r="F94" s="11" t="s">
        <v>29</v>
      </c>
      <c r="G94" s="10" t="s">
        <v>206</v>
      </c>
      <c r="H94" s="10" t="s">
        <v>207</v>
      </c>
      <c r="I94" s="10" t="s">
        <v>385</v>
      </c>
      <c r="J94" s="10" t="s">
        <v>386</v>
      </c>
      <c r="K94" s="10"/>
      <c r="L94" s="12"/>
      <c r="M94" s="13" t="s">
        <v>387</v>
      </c>
    </row>
    <row r="95" customFormat="false" ht="33.75" hidden="false" customHeight="true" outlineLevel="0" collapsed="false">
      <c r="B95" s="9" t="n">
        <v>87</v>
      </c>
      <c r="C95" s="10" t="s">
        <v>383</v>
      </c>
      <c r="D95" s="10" t="s">
        <v>388</v>
      </c>
      <c r="E95" s="10" t="s">
        <v>389</v>
      </c>
      <c r="F95" s="11" t="s">
        <v>51</v>
      </c>
      <c r="G95" s="10" t="s">
        <v>206</v>
      </c>
      <c r="H95" s="10" t="s">
        <v>207</v>
      </c>
      <c r="I95" s="10" t="s">
        <v>385</v>
      </c>
      <c r="J95" s="10" t="s">
        <v>390</v>
      </c>
      <c r="K95" s="10" t="s">
        <v>391</v>
      </c>
      <c r="L95" s="12"/>
      <c r="M95" s="13" t="s">
        <v>387</v>
      </c>
    </row>
    <row r="96" customFormat="false" ht="33.75" hidden="false" customHeight="true" outlineLevel="0" collapsed="false">
      <c r="B96" s="9" t="n">
        <v>88</v>
      </c>
      <c r="C96" s="10" t="s">
        <v>392</v>
      </c>
      <c r="D96" s="10" t="s">
        <v>393</v>
      </c>
      <c r="E96" s="10" t="s">
        <v>59</v>
      </c>
      <c r="F96" s="11" t="s">
        <v>29</v>
      </c>
      <c r="G96" s="10" t="s">
        <v>30</v>
      </c>
      <c r="H96" s="10" t="s">
        <v>31</v>
      </c>
      <c r="I96" s="10" t="s">
        <v>394</v>
      </c>
      <c r="J96" s="10" t="s">
        <v>395</v>
      </c>
      <c r="K96" s="10"/>
      <c r="L96" s="12"/>
      <c r="M96" s="13" t="s">
        <v>396</v>
      </c>
    </row>
    <row r="97" customFormat="false" ht="33.75" hidden="false" customHeight="true" outlineLevel="0" collapsed="false">
      <c r="B97" s="9" t="n">
        <v>89</v>
      </c>
      <c r="C97" s="10" t="s">
        <v>397</v>
      </c>
      <c r="D97" s="10" t="s">
        <v>398</v>
      </c>
      <c r="E97" s="10" t="s">
        <v>59</v>
      </c>
      <c r="F97" s="11" t="s">
        <v>29</v>
      </c>
      <c r="G97" s="10" t="s">
        <v>30</v>
      </c>
      <c r="H97" s="10" t="s">
        <v>31</v>
      </c>
      <c r="I97" s="10" t="s">
        <v>397</v>
      </c>
      <c r="J97" s="10" t="s">
        <v>399</v>
      </c>
      <c r="K97" s="10"/>
      <c r="L97" s="12"/>
      <c r="M97" s="13" t="s">
        <v>400</v>
      </c>
    </row>
    <row r="98" customFormat="false" ht="33.75" hidden="false" customHeight="true" outlineLevel="0" collapsed="false">
      <c r="B98" s="9" t="n">
        <v>90</v>
      </c>
      <c r="C98" s="10" t="s">
        <v>397</v>
      </c>
      <c r="D98" s="10" t="s">
        <v>401</v>
      </c>
      <c r="E98" s="10" t="s">
        <v>402</v>
      </c>
      <c r="F98" s="11" t="s">
        <v>51</v>
      </c>
      <c r="G98" s="10" t="s">
        <v>30</v>
      </c>
      <c r="H98" s="10" t="s">
        <v>31</v>
      </c>
      <c r="I98" s="10" t="s">
        <v>397</v>
      </c>
      <c r="J98" s="10" t="s">
        <v>403</v>
      </c>
      <c r="K98" s="10" t="s">
        <v>404</v>
      </c>
      <c r="L98" s="12"/>
      <c r="M98" s="13" t="s">
        <v>400</v>
      </c>
    </row>
    <row r="99" customFormat="false" ht="33.75" hidden="false" customHeight="true" outlineLevel="0" collapsed="false">
      <c r="B99" s="9" t="n">
        <v>91</v>
      </c>
      <c r="C99" s="10" t="s">
        <v>405</v>
      </c>
      <c r="D99" s="10" t="s">
        <v>406</v>
      </c>
      <c r="E99" s="10" t="s">
        <v>407</v>
      </c>
      <c r="F99" s="11" t="s">
        <v>51</v>
      </c>
      <c r="G99" s="10" t="s">
        <v>30</v>
      </c>
      <c r="H99" s="10" t="s">
        <v>31</v>
      </c>
      <c r="I99" s="10" t="s">
        <v>408</v>
      </c>
      <c r="J99" s="10" t="s">
        <v>409</v>
      </c>
      <c r="K99" s="10" t="s">
        <v>410</v>
      </c>
      <c r="L99" s="12"/>
      <c r="M99" s="13" t="s">
        <v>411</v>
      </c>
    </row>
    <row r="100" customFormat="false" ht="33.75" hidden="false" customHeight="true" outlineLevel="0" collapsed="false">
      <c r="B100" s="9" t="n">
        <v>92</v>
      </c>
      <c r="C100" s="10" t="s">
        <v>405</v>
      </c>
      <c r="D100" s="10" t="s">
        <v>412</v>
      </c>
      <c r="E100" s="10" t="s">
        <v>413</v>
      </c>
      <c r="F100" s="11" t="s">
        <v>51</v>
      </c>
      <c r="G100" s="10" t="s">
        <v>30</v>
      </c>
      <c r="H100" s="10" t="s">
        <v>31</v>
      </c>
      <c r="I100" s="10" t="s">
        <v>408</v>
      </c>
      <c r="J100" s="10" t="s">
        <v>414</v>
      </c>
      <c r="K100" s="10" t="s">
        <v>415</v>
      </c>
      <c r="L100" s="12"/>
      <c r="M100" s="13" t="s">
        <v>400</v>
      </c>
    </row>
    <row r="101" customFormat="false" ht="33.75" hidden="false" customHeight="true" outlineLevel="0" collapsed="false">
      <c r="B101" s="9" t="n">
        <v>93</v>
      </c>
      <c r="C101" s="10" t="s">
        <v>405</v>
      </c>
      <c r="D101" s="10" t="s">
        <v>416</v>
      </c>
      <c r="E101" s="10" t="s">
        <v>31</v>
      </c>
      <c r="F101" s="11" t="s">
        <v>86</v>
      </c>
      <c r="G101" s="10" t="s">
        <v>76</v>
      </c>
      <c r="H101" s="10" t="s">
        <v>31</v>
      </c>
      <c r="I101" s="10" t="s">
        <v>31</v>
      </c>
      <c r="J101" s="10" t="s">
        <v>31</v>
      </c>
      <c r="K101" s="10" t="s">
        <v>363</v>
      </c>
      <c r="L101" s="12"/>
      <c r="M101" s="13" t="s">
        <v>400</v>
      </c>
    </row>
    <row r="102" customFormat="false" ht="33.75" hidden="false" customHeight="true" outlineLevel="0" collapsed="false">
      <c r="B102" s="9" t="n">
        <v>94</v>
      </c>
      <c r="C102" s="10" t="s">
        <v>405</v>
      </c>
      <c r="D102" s="10" t="s">
        <v>417</v>
      </c>
      <c r="E102" s="10" t="s">
        <v>31</v>
      </c>
      <c r="F102" s="11" t="s">
        <v>86</v>
      </c>
      <c r="G102" s="10" t="s">
        <v>76</v>
      </c>
      <c r="H102" s="10" t="s">
        <v>31</v>
      </c>
      <c r="I102" s="10" t="s">
        <v>31</v>
      </c>
      <c r="J102" s="10" t="s">
        <v>31</v>
      </c>
      <c r="K102" s="10" t="s">
        <v>418</v>
      </c>
      <c r="L102" s="12"/>
      <c r="M102" s="13" t="s">
        <v>400</v>
      </c>
    </row>
    <row r="103" customFormat="false" ht="33.75" hidden="false" customHeight="true" outlineLevel="0" collapsed="false">
      <c r="B103" s="9" t="n">
        <v>95</v>
      </c>
      <c r="C103" s="10" t="s">
        <v>419</v>
      </c>
      <c r="D103" s="10" t="s">
        <v>420</v>
      </c>
      <c r="E103" s="10" t="s">
        <v>59</v>
      </c>
      <c r="F103" s="11" t="s">
        <v>29</v>
      </c>
      <c r="G103" s="10" t="s">
        <v>30</v>
      </c>
      <c r="H103" s="10" t="s">
        <v>31</v>
      </c>
      <c r="I103" s="10" t="s">
        <v>421</v>
      </c>
      <c r="J103" s="10" t="s">
        <v>422</v>
      </c>
      <c r="K103" s="10"/>
      <c r="L103" s="12"/>
      <c r="M103" s="13" t="s">
        <v>423</v>
      </c>
    </row>
    <row r="104" customFormat="false" ht="33.75" hidden="false" customHeight="true" outlineLevel="0" collapsed="false">
      <c r="B104" s="9" t="n">
        <v>96</v>
      </c>
      <c r="C104" s="10" t="s">
        <v>419</v>
      </c>
      <c r="D104" s="10" t="s">
        <v>424</v>
      </c>
      <c r="E104" s="10" t="s">
        <v>59</v>
      </c>
      <c r="F104" s="11" t="s">
        <v>29</v>
      </c>
      <c r="G104" s="10" t="s">
        <v>30</v>
      </c>
      <c r="H104" s="10" t="s">
        <v>31</v>
      </c>
      <c r="I104" s="10" t="s">
        <v>425</v>
      </c>
      <c r="J104" s="10" t="s">
        <v>426</v>
      </c>
      <c r="K104" s="10"/>
      <c r="L104" s="12"/>
      <c r="M104" s="13" t="s">
        <v>423</v>
      </c>
    </row>
    <row r="105" customFormat="false" ht="33.75" hidden="false" customHeight="true" outlineLevel="0" collapsed="false">
      <c r="B105" s="9" t="n">
        <v>97</v>
      </c>
      <c r="C105" s="10" t="s">
        <v>419</v>
      </c>
      <c r="D105" s="10" t="s">
        <v>427</v>
      </c>
      <c r="E105" s="10" t="s">
        <v>59</v>
      </c>
      <c r="F105" s="11" t="s">
        <v>51</v>
      </c>
      <c r="G105" s="10" t="s">
        <v>76</v>
      </c>
      <c r="H105" s="10" t="s">
        <v>31</v>
      </c>
      <c r="I105" s="10" t="s">
        <v>428</v>
      </c>
      <c r="J105" s="10" t="s">
        <v>429</v>
      </c>
      <c r="K105" s="10" t="s">
        <v>430</v>
      </c>
      <c r="L105" s="12"/>
      <c r="M105" s="13" t="s">
        <v>431</v>
      </c>
    </row>
    <row r="106" customFormat="false" ht="33.75" hidden="false" customHeight="true" outlineLevel="0" collapsed="false">
      <c r="B106" s="9" t="n">
        <v>98</v>
      </c>
      <c r="C106" s="10" t="s">
        <v>419</v>
      </c>
      <c r="D106" s="10" t="s">
        <v>432</v>
      </c>
      <c r="E106" s="10" t="s">
        <v>59</v>
      </c>
      <c r="F106" s="11" t="s">
        <v>29</v>
      </c>
      <c r="G106" s="10" t="s">
        <v>30</v>
      </c>
      <c r="H106" s="10" t="s">
        <v>31</v>
      </c>
      <c r="I106" s="10" t="s">
        <v>421</v>
      </c>
      <c r="J106" s="10" t="s">
        <v>433</v>
      </c>
      <c r="K106" s="10"/>
      <c r="L106" s="12"/>
      <c r="M106" s="13" t="s">
        <v>434</v>
      </c>
    </row>
    <row r="107" customFormat="false" ht="33.75" hidden="false" customHeight="true" outlineLevel="0" collapsed="false">
      <c r="B107" s="9" t="n">
        <v>99</v>
      </c>
      <c r="C107" s="10" t="s">
        <v>419</v>
      </c>
      <c r="D107" s="10" t="s">
        <v>435</v>
      </c>
      <c r="E107" s="10" t="s">
        <v>31</v>
      </c>
      <c r="F107" s="11" t="s">
        <v>86</v>
      </c>
      <c r="G107" s="10" t="s">
        <v>87</v>
      </c>
      <c r="H107" s="10" t="s">
        <v>31</v>
      </c>
      <c r="I107" s="10" t="s">
        <v>31</v>
      </c>
      <c r="J107" s="10" t="s">
        <v>31</v>
      </c>
      <c r="K107" s="10" t="s">
        <v>436</v>
      </c>
      <c r="L107" s="12"/>
      <c r="M107" s="13" t="s">
        <v>31</v>
      </c>
    </row>
    <row r="108" customFormat="false" ht="33.75" hidden="false" customHeight="true" outlineLevel="0" collapsed="false">
      <c r="B108" s="9" t="n">
        <v>100</v>
      </c>
      <c r="C108" s="10" t="s">
        <v>437</v>
      </c>
      <c r="D108" s="10" t="s">
        <v>438</v>
      </c>
      <c r="E108" s="10" t="s">
        <v>59</v>
      </c>
      <c r="F108" s="11" t="s">
        <v>29</v>
      </c>
      <c r="G108" s="10" t="s">
        <v>30</v>
      </c>
      <c r="H108" s="10" t="s">
        <v>31</v>
      </c>
      <c r="I108" s="10" t="s">
        <v>437</v>
      </c>
      <c r="J108" s="10" t="s">
        <v>439</v>
      </c>
      <c r="K108" s="10"/>
      <c r="L108" s="12"/>
      <c r="M108" s="13" t="s">
        <v>440</v>
      </c>
    </row>
    <row r="109" customFormat="false" ht="25.5" hidden="false" customHeight="true" outlineLevel="0" collapsed="false">
      <c r="B109" s="9" t="n">
        <v>101</v>
      </c>
      <c r="C109" s="10" t="s">
        <v>437</v>
      </c>
      <c r="D109" s="10" t="s">
        <v>441</v>
      </c>
      <c r="E109" s="10" t="s">
        <v>442</v>
      </c>
      <c r="F109" s="11" t="s">
        <v>51</v>
      </c>
      <c r="G109" s="10" t="s">
        <v>30</v>
      </c>
      <c r="H109" s="10" t="s">
        <v>31</v>
      </c>
      <c r="I109" s="10" t="s">
        <v>437</v>
      </c>
      <c r="J109" s="10" t="s">
        <v>443</v>
      </c>
      <c r="K109" s="10" t="s">
        <v>444</v>
      </c>
      <c r="L109" s="12"/>
      <c r="M109" s="13" t="s">
        <v>44</v>
      </c>
    </row>
    <row r="110" customFormat="false" ht="48" hidden="false" customHeight="true" outlineLevel="0" collapsed="false">
      <c r="B110" s="9" t="n">
        <v>102</v>
      </c>
      <c r="C110" s="10" t="s">
        <v>437</v>
      </c>
      <c r="D110" s="10" t="s">
        <v>445</v>
      </c>
      <c r="E110" s="10" t="s">
        <v>446</v>
      </c>
      <c r="F110" s="11" t="s">
        <v>51</v>
      </c>
      <c r="G110" s="10" t="s">
        <v>174</v>
      </c>
      <c r="H110" s="10" t="s">
        <v>31</v>
      </c>
      <c r="I110" s="10" t="s">
        <v>175</v>
      </c>
      <c r="J110" s="10" t="s">
        <v>447</v>
      </c>
      <c r="K110" s="10" t="s">
        <v>448</v>
      </c>
      <c r="L110" s="12"/>
      <c r="M110" s="13" t="s">
        <v>449</v>
      </c>
    </row>
    <row r="111" customFormat="false" ht="33.75" hidden="false" customHeight="true" outlineLevel="0" collapsed="false">
      <c r="B111" s="9" t="n">
        <v>103</v>
      </c>
      <c r="C111" s="10" t="s">
        <v>450</v>
      </c>
      <c r="D111" s="10" t="s">
        <v>451</v>
      </c>
      <c r="E111" s="10" t="s">
        <v>59</v>
      </c>
      <c r="F111" s="11" t="s">
        <v>29</v>
      </c>
      <c r="G111" s="10" t="s">
        <v>30</v>
      </c>
      <c r="H111" s="10" t="s">
        <v>31</v>
      </c>
      <c r="I111" s="10" t="s">
        <v>452</v>
      </c>
      <c r="J111" s="10" t="s">
        <v>453</v>
      </c>
      <c r="K111" s="10"/>
      <c r="L111" s="12"/>
      <c r="M111" s="13" t="s">
        <v>454</v>
      </c>
    </row>
    <row r="112" customFormat="false" ht="25.5" hidden="false" customHeight="true" outlineLevel="0" collapsed="false">
      <c r="B112" s="9" t="n">
        <v>104</v>
      </c>
      <c r="C112" s="10" t="s">
        <v>450</v>
      </c>
      <c r="D112" s="10" t="s">
        <v>455</v>
      </c>
      <c r="E112" s="10" t="s">
        <v>59</v>
      </c>
      <c r="F112" s="11" t="s">
        <v>29</v>
      </c>
      <c r="G112" s="10" t="s">
        <v>30</v>
      </c>
      <c r="H112" s="10" t="s">
        <v>31</v>
      </c>
      <c r="I112" s="10" t="s">
        <v>456</v>
      </c>
      <c r="J112" s="10" t="s">
        <v>457</v>
      </c>
      <c r="K112" s="10"/>
      <c r="L112" s="12"/>
      <c r="M112" s="13" t="s">
        <v>454</v>
      </c>
    </row>
    <row r="113" customFormat="false" ht="48" hidden="false" customHeight="true" outlineLevel="0" collapsed="false">
      <c r="B113" s="9" t="n">
        <v>105</v>
      </c>
      <c r="C113" s="10" t="s">
        <v>450</v>
      </c>
      <c r="D113" s="10" t="s">
        <v>458</v>
      </c>
      <c r="E113" s="10" t="s">
        <v>459</v>
      </c>
      <c r="F113" s="11" t="s">
        <v>51</v>
      </c>
      <c r="G113" s="10" t="s">
        <v>76</v>
      </c>
      <c r="H113" s="10" t="s">
        <v>31</v>
      </c>
      <c r="I113" s="10" t="s">
        <v>460</v>
      </c>
      <c r="J113" s="10" t="s">
        <v>461</v>
      </c>
      <c r="K113" s="10" t="s">
        <v>462</v>
      </c>
      <c r="L113" s="12"/>
      <c r="M113" s="13" t="s">
        <v>454</v>
      </c>
    </row>
    <row r="114" customFormat="false" ht="33.75" hidden="false" customHeight="true" outlineLevel="0" collapsed="false">
      <c r="B114" s="9" t="n">
        <v>106</v>
      </c>
      <c r="C114" s="10" t="s">
        <v>450</v>
      </c>
      <c r="D114" s="10" t="s">
        <v>463</v>
      </c>
      <c r="E114" s="10" t="s">
        <v>59</v>
      </c>
      <c r="F114" s="11" t="s">
        <v>29</v>
      </c>
      <c r="G114" s="10" t="s">
        <v>30</v>
      </c>
      <c r="H114" s="10" t="s">
        <v>31</v>
      </c>
      <c r="I114" s="10" t="s">
        <v>464</v>
      </c>
      <c r="J114" s="10" t="s">
        <v>465</v>
      </c>
      <c r="K114" s="10"/>
      <c r="L114" s="12"/>
      <c r="M114" s="13" t="s">
        <v>163</v>
      </c>
    </row>
    <row r="115" customFormat="false" ht="33.75" hidden="false" customHeight="true" outlineLevel="0" collapsed="false">
      <c r="B115" s="9" t="n">
        <v>107</v>
      </c>
      <c r="C115" s="10" t="s">
        <v>450</v>
      </c>
      <c r="D115" s="10" t="s">
        <v>466</v>
      </c>
      <c r="E115" s="10" t="s">
        <v>467</v>
      </c>
      <c r="F115" s="11" t="s">
        <v>51</v>
      </c>
      <c r="G115" s="10" t="s">
        <v>76</v>
      </c>
      <c r="H115" s="10" t="s">
        <v>31</v>
      </c>
      <c r="I115" s="10" t="s">
        <v>468</v>
      </c>
      <c r="J115" s="10" t="s">
        <v>469</v>
      </c>
      <c r="K115" s="10" t="s">
        <v>470</v>
      </c>
      <c r="L115" s="12"/>
      <c r="M115" s="13" t="s">
        <v>454</v>
      </c>
    </row>
    <row r="116" customFormat="false" ht="33.75" hidden="false" customHeight="true" outlineLevel="0" collapsed="false">
      <c r="B116" s="9" t="n">
        <v>108</v>
      </c>
      <c r="C116" s="10" t="s">
        <v>450</v>
      </c>
      <c r="D116" s="10" t="s">
        <v>471</v>
      </c>
      <c r="E116" s="10" t="s">
        <v>59</v>
      </c>
      <c r="F116" s="11" t="s">
        <v>29</v>
      </c>
      <c r="G116" s="10" t="s">
        <v>30</v>
      </c>
      <c r="H116" s="10" t="s">
        <v>31</v>
      </c>
      <c r="I116" s="10" t="s">
        <v>468</v>
      </c>
      <c r="J116" s="10" t="s">
        <v>472</v>
      </c>
      <c r="K116" s="10"/>
      <c r="L116" s="12"/>
      <c r="M116" s="13" t="s">
        <v>454</v>
      </c>
    </row>
    <row r="117" customFormat="false" ht="25.5" hidden="false" customHeight="true" outlineLevel="0" collapsed="false">
      <c r="B117" s="9" t="n">
        <v>109</v>
      </c>
      <c r="C117" s="10" t="s">
        <v>473</v>
      </c>
      <c r="D117" s="10" t="s">
        <v>474</v>
      </c>
      <c r="E117" s="10" t="s">
        <v>59</v>
      </c>
      <c r="F117" s="11" t="s">
        <v>29</v>
      </c>
      <c r="G117" s="10" t="s">
        <v>30</v>
      </c>
      <c r="H117" s="10" t="s">
        <v>31</v>
      </c>
      <c r="I117" s="10" t="s">
        <v>473</v>
      </c>
      <c r="J117" s="10" t="s">
        <v>321</v>
      </c>
      <c r="K117" s="10"/>
      <c r="L117" s="12"/>
      <c r="M117" s="13" t="s">
        <v>475</v>
      </c>
    </row>
    <row r="118" customFormat="false" ht="25.5" hidden="false" customHeight="true" outlineLevel="0" collapsed="false">
      <c r="B118" s="9" t="n">
        <v>110</v>
      </c>
      <c r="C118" s="10" t="s">
        <v>476</v>
      </c>
      <c r="D118" s="10" t="s">
        <v>477</v>
      </c>
      <c r="E118" s="10" t="s">
        <v>31</v>
      </c>
      <c r="F118" s="11" t="s">
        <v>86</v>
      </c>
      <c r="G118" s="10" t="s">
        <v>30</v>
      </c>
      <c r="H118" s="10" t="s">
        <v>31</v>
      </c>
      <c r="I118" s="10" t="s">
        <v>31</v>
      </c>
      <c r="J118" s="10" t="s">
        <v>31</v>
      </c>
      <c r="K118" s="10" t="s">
        <v>363</v>
      </c>
      <c r="L118" s="12"/>
      <c r="M118" s="13" t="s">
        <v>478</v>
      </c>
    </row>
    <row r="119" customFormat="false" ht="33.75" hidden="false" customHeight="true" outlineLevel="0" collapsed="false">
      <c r="B119" s="9" t="n">
        <v>111</v>
      </c>
      <c r="C119" s="10" t="s">
        <v>476</v>
      </c>
      <c r="D119" s="10" t="s">
        <v>479</v>
      </c>
      <c r="E119" s="10" t="s">
        <v>480</v>
      </c>
      <c r="F119" s="11" t="s">
        <v>51</v>
      </c>
      <c r="G119" s="10" t="s">
        <v>30</v>
      </c>
      <c r="H119" s="10" t="s">
        <v>31</v>
      </c>
      <c r="I119" s="10" t="s">
        <v>481</v>
      </c>
      <c r="J119" s="10" t="s">
        <v>482</v>
      </c>
      <c r="K119" s="10" t="s">
        <v>483</v>
      </c>
      <c r="L119" s="12"/>
      <c r="M119" s="13" t="s">
        <v>478</v>
      </c>
    </row>
    <row r="120" customFormat="false" ht="33.75" hidden="false" customHeight="true" outlineLevel="0" collapsed="false">
      <c r="B120" s="9" t="n">
        <v>112</v>
      </c>
      <c r="C120" s="10" t="s">
        <v>476</v>
      </c>
      <c r="D120" s="10" t="s">
        <v>484</v>
      </c>
      <c r="E120" s="10" t="s">
        <v>485</v>
      </c>
      <c r="F120" s="11" t="s">
        <v>29</v>
      </c>
      <c r="G120" s="10" t="s">
        <v>76</v>
      </c>
      <c r="H120" s="10" t="s">
        <v>31</v>
      </c>
      <c r="I120" s="10" t="s">
        <v>486</v>
      </c>
      <c r="J120" s="10" t="s">
        <v>487</v>
      </c>
      <c r="K120" s="10"/>
      <c r="L120" s="12"/>
      <c r="M120" s="13" t="s">
        <v>478</v>
      </c>
    </row>
    <row r="121" customFormat="false" ht="33.75" hidden="false" customHeight="true" outlineLevel="0" collapsed="false">
      <c r="B121" s="9" t="n">
        <v>113</v>
      </c>
      <c r="C121" s="10" t="s">
        <v>476</v>
      </c>
      <c r="D121" s="10" t="s">
        <v>488</v>
      </c>
      <c r="E121" s="10" t="s">
        <v>489</v>
      </c>
      <c r="F121" s="11" t="s">
        <v>51</v>
      </c>
      <c r="G121" s="10" t="s">
        <v>76</v>
      </c>
      <c r="H121" s="10" t="s">
        <v>31</v>
      </c>
      <c r="I121" s="10" t="s">
        <v>490</v>
      </c>
      <c r="J121" s="10" t="s">
        <v>491</v>
      </c>
      <c r="K121" s="10" t="s">
        <v>492</v>
      </c>
      <c r="L121" s="12"/>
      <c r="M121" s="13" t="s">
        <v>478</v>
      </c>
    </row>
    <row r="122" customFormat="false" ht="33.75" hidden="false" customHeight="true" outlineLevel="0" collapsed="false">
      <c r="B122" s="9" t="n">
        <v>114</v>
      </c>
      <c r="C122" s="10" t="s">
        <v>476</v>
      </c>
      <c r="D122" s="10" t="s">
        <v>493</v>
      </c>
      <c r="E122" s="10" t="s">
        <v>494</v>
      </c>
      <c r="F122" s="11" t="s">
        <v>51</v>
      </c>
      <c r="G122" s="10" t="s">
        <v>76</v>
      </c>
      <c r="H122" s="10" t="s">
        <v>31</v>
      </c>
      <c r="I122" s="10" t="s">
        <v>495</v>
      </c>
      <c r="J122" s="10" t="s">
        <v>496</v>
      </c>
      <c r="K122" s="10" t="s">
        <v>497</v>
      </c>
      <c r="L122" s="12"/>
      <c r="M122" s="13" t="s">
        <v>478</v>
      </c>
    </row>
    <row r="123" customFormat="false" ht="33.75" hidden="false" customHeight="true" outlineLevel="0" collapsed="false">
      <c r="B123" s="9" t="n">
        <v>115</v>
      </c>
      <c r="C123" s="10" t="s">
        <v>476</v>
      </c>
      <c r="D123" s="10" t="s">
        <v>498</v>
      </c>
      <c r="E123" s="10" t="s">
        <v>499</v>
      </c>
      <c r="F123" s="11" t="s">
        <v>51</v>
      </c>
      <c r="G123" s="10" t="s">
        <v>30</v>
      </c>
      <c r="H123" s="10" t="s">
        <v>31</v>
      </c>
      <c r="I123" s="10" t="s">
        <v>32</v>
      </c>
      <c r="J123" s="10" t="s">
        <v>500</v>
      </c>
      <c r="K123" s="10" t="s">
        <v>501</v>
      </c>
      <c r="L123" s="12"/>
      <c r="M123" s="13" t="s">
        <v>478</v>
      </c>
    </row>
    <row r="124" customFormat="false" ht="33.75" hidden="false" customHeight="true" outlineLevel="0" collapsed="false">
      <c r="B124" s="9" t="n">
        <v>116</v>
      </c>
      <c r="C124" s="10" t="s">
        <v>476</v>
      </c>
      <c r="D124" s="10" t="s">
        <v>502</v>
      </c>
      <c r="E124" s="10" t="s">
        <v>31</v>
      </c>
      <c r="F124" s="11" t="s">
        <v>86</v>
      </c>
      <c r="G124" s="10" t="s">
        <v>76</v>
      </c>
      <c r="H124" s="10" t="s">
        <v>31</v>
      </c>
      <c r="I124" s="10" t="s">
        <v>31</v>
      </c>
      <c r="J124" s="10" t="s">
        <v>31</v>
      </c>
      <c r="K124" s="10" t="s">
        <v>503</v>
      </c>
      <c r="L124" s="12"/>
      <c r="M124" s="13" t="s">
        <v>478</v>
      </c>
    </row>
    <row r="125" customFormat="false" ht="33.75" hidden="false" customHeight="true" outlineLevel="0" collapsed="false">
      <c r="B125" s="9" t="n">
        <v>117</v>
      </c>
      <c r="C125" s="10" t="s">
        <v>504</v>
      </c>
      <c r="D125" s="10" t="s">
        <v>505</v>
      </c>
      <c r="E125" s="10" t="s">
        <v>59</v>
      </c>
      <c r="F125" s="11" t="s">
        <v>29</v>
      </c>
      <c r="G125" s="10" t="s">
        <v>206</v>
      </c>
      <c r="H125" s="10" t="s">
        <v>207</v>
      </c>
      <c r="I125" s="10" t="s">
        <v>506</v>
      </c>
      <c r="J125" s="10" t="s">
        <v>422</v>
      </c>
      <c r="K125" s="10"/>
      <c r="L125" s="12"/>
      <c r="M125" s="13" t="s">
        <v>507</v>
      </c>
    </row>
    <row r="126" customFormat="false" ht="33.75" hidden="false" customHeight="true" outlineLevel="0" collapsed="false">
      <c r="B126" s="9" t="n">
        <v>118</v>
      </c>
      <c r="C126" s="10" t="s">
        <v>504</v>
      </c>
      <c r="D126" s="10" t="s">
        <v>508</v>
      </c>
      <c r="E126" s="10" t="s">
        <v>509</v>
      </c>
      <c r="F126" s="11" t="s">
        <v>51</v>
      </c>
      <c r="G126" s="10" t="s">
        <v>235</v>
      </c>
      <c r="H126" s="10" t="s">
        <v>207</v>
      </c>
      <c r="I126" s="10" t="s">
        <v>506</v>
      </c>
      <c r="J126" s="10" t="s">
        <v>510</v>
      </c>
      <c r="K126" s="10" t="s">
        <v>511</v>
      </c>
      <c r="L126" s="12"/>
      <c r="M126" s="13" t="s">
        <v>507</v>
      </c>
    </row>
    <row r="127" customFormat="false" ht="33.75" hidden="false" customHeight="true" outlineLevel="0" collapsed="false">
      <c r="B127" s="9" t="n">
        <v>119</v>
      </c>
      <c r="C127" s="10" t="s">
        <v>504</v>
      </c>
      <c r="D127" s="10" t="s">
        <v>512</v>
      </c>
      <c r="E127" s="10" t="s">
        <v>31</v>
      </c>
      <c r="F127" s="11" t="s">
        <v>86</v>
      </c>
      <c r="G127" s="10" t="s">
        <v>235</v>
      </c>
      <c r="H127" s="10" t="s">
        <v>207</v>
      </c>
      <c r="I127" s="10" t="s">
        <v>31</v>
      </c>
      <c r="J127" s="10" t="s">
        <v>31</v>
      </c>
      <c r="K127" s="10" t="s">
        <v>513</v>
      </c>
      <c r="L127" s="12"/>
      <c r="M127" s="13" t="s">
        <v>507</v>
      </c>
    </row>
    <row r="128" customFormat="false" ht="33.75" hidden="false" customHeight="true" outlineLevel="0" collapsed="false">
      <c r="B128" s="9" t="n">
        <v>120</v>
      </c>
      <c r="C128" s="10" t="s">
        <v>504</v>
      </c>
      <c r="D128" s="10" t="s">
        <v>514</v>
      </c>
      <c r="E128" s="10" t="s">
        <v>59</v>
      </c>
      <c r="F128" s="11" t="s">
        <v>29</v>
      </c>
      <c r="G128" s="10" t="s">
        <v>206</v>
      </c>
      <c r="H128" s="10" t="s">
        <v>207</v>
      </c>
      <c r="I128" s="10" t="s">
        <v>506</v>
      </c>
      <c r="J128" s="10" t="s">
        <v>515</v>
      </c>
      <c r="K128" s="10"/>
      <c r="L128" s="12"/>
      <c r="M128" s="13" t="s">
        <v>516</v>
      </c>
    </row>
    <row r="129" customFormat="false" ht="33.75" hidden="false" customHeight="true" outlineLevel="0" collapsed="false">
      <c r="B129" s="9" t="n">
        <v>121</v>
      </c>
      <c r="C129" s="10" t="s">
        <v>517</v>
      </c>
      <c r="D129" s="10" t="s">
        <v>518</v>
      </c>
      <c r="E129" s="10" t="s">
        <v>519</v>
      </c>
      <c r="F129" s="11" t="s">
        <v>51</v>
      </c>
      <c r="G129" s="10" t="s">
        <v>206</v>
      </c>
      <c r="H129" s="10" t="s">
        <v>207</v>
      </c>
      <c r="I129" s="10" t="s">
        <v>520</v>
      </c>
      <c r="J129" s="10" t="s">
        <v>521</v>
      </c>
      <c r="K129" s="10" t="s">
        <v>522</v>
      </c>
      <c r="L129" s="12"/>
      <c r="M129" s="13" t="s">
        <v>507</v>
      </c>
    </row>
    <row r="130" customFormat="false" ht="33.75" hidden="false" customHeight="true" outlineLevel="0" collapsed="false">
      <c r="B130" s="9" t="n">
        <v>122</v>
      </c>
      <c r="C130" s="10" t="s">
        <v>517</v>
      </c>
      <c r="D130" s="10" t="s">
        <v>523</v>
      </c>
      <c r="E130" s="10" t="s">
        <v>524</v>
      </c>
      <c r="F130" s="11" t="s">
        <v>51</v>
      </c>
      <c r="G130" s="10" t="s">
        <v>235</v>
      </c>
      <c r="H130" s="10" t="s">
        <v>207</v>
      </c>
      <c r="I130" s="10" t="s">
        <v>506</v>
      </c>
      <c r="J130" s="10" t="s">
        <v>525</v>
      </c>
      <c r="K130" s="10" t="s">
        <v>526</v>
      </c>
      <c r="L130" s="12"/>
      <c r="M130" s="13" t="s">
        <v>507</v>
      </c>
    </row>
    <row r="131" customFormat="false" ht="33.75" hidden="false" customHeight="true" outlineLevel="0" collapsed="false">
      <c r="B131" s="9" t="n">
        <v>123</v>
      </c>
      <c r="C131" s="10" t="s">
        <v>517</v>
      </c>
      <c r="D131" s="10" t="s">
        <v>527</v>
      </c>
      <c r="E131" s="10" t="s">
        <v>528</v>
      </c>
      <c r="F131" s="11" t="s">
        <v>51</v>
      </c>
      <c r="G131" s="10" t="s">
        <v>174</v>
      </c>
      <c r="H131" s="10" t="s">
        <v>31</v>
      </c>
      <c r="I131" s="10" t="s">
        <v>175</v>
      </c>
      <c r="J131" s="10" t="s">
        <v>529</v>
      </c>
      <c r="K131" s="10" t="s">
        <v>530</v>
      </c>
      <c r="L131" s="12"/>
      <c r="M131" s="13" t="s">
        <v>531</v>
      </c>
    </row>
    <row r="132" customFormat="false" ht="33.75" hidden="false" customHeight="true" outlineLevel="0" collapsed="false">
      <c r="B132" s="9" t="n">
        <v>124</v>
      </c>
      <c r="C132" s="10" t="s">
        <v>532</v>
      </c>
      <c r="D132" s="10" t="s">
        <v>533</v>
      </c>
      <c r="E132" s="10" t="s">
        <v>534</v>
      </c>
      <c r="F132" s="11" t="s">
        <v>51</v>
      </c>
      <c r="G132" s="10" t="s">
        <v>206</v>
      </c>
      <c r="H132" s="10" t="s">
        <v>207</v>
      </c>
      <c r="I132" s="10" t="s">
        <v>255</v>
      </c>
      <c r="J132" s="10" t="s">
        <v>535</v>
      </c>
      <c r="K132" s="10" t="s">
        <v>536</v>
      </c>
      <c r="L132" s="12"/>
      <c r="M132" s="13" t="s">
        <v>537</v>
      </c>
    </row>
    <row r="133" customFormat="false" ht="33.75" hidden="false" customHeight="true" outlineLevel="0" collapsed="false">
      <c r="B133" s="9" t="n">
        <v>125</v>
      </c>
      <c r="C133" s="10" t="s">
        <v>532</v>
      </c>
      <c r="D133" s="10" t="s">
        <v>538</v>
      </c>
      <c r="E133" s="10" t="s">
        <v>539</v>
      </c>
      <c r="F133" s="11" t="s">
        <v>51</v>
      </c>
      <c r="G133" s="10" t="s">
        <v>174</v>
      </c>
      <c r="H133" s="10" t="s">
        <v>207</v>
      </c>
      <c r="I133" s="10" t="s">
        <v>175</v>
      </c>
      <c r="J133" s="10" t="s">
        <v>447</v>
      </c>
      <c r="K133" s="10" t="s">
        <v>540</v>
      </c>
      <c r="L133" s="12"/>
      <c r="M133" s="13" t="s">
        <v>537</v>
      </c>
    </row>
    <row r="134" customFormat="false" ht="33.75" hidden="false" customHeight="true" outlineLevel="0" collapsed="false">
      <c r="B134" s="9" t="n">
        <v>126</v>
      </c>
      <c r="C134" s="10" t="s">
        <v>532</v>
      </c>
      <c r="D134" s="10" t="s">
        <v>541</v>
      </c>
      <c r="E134" s="10" t="s">
        <v>542</v>
      </c>
      <c r="F134" s="11" t="s">
        <v>51</v>
      </c>
      <c r="G134" s="10" t="s">
        <v>235</v>
      </c>
      <c r="H134" s="10" t="s">
        <v>207</v>
      </c>
      <c r="I134" s="10" t="s">
        <v>255</v>
      </c>
      <c r="J134" s="10" t="s">
        <v>543</v>
      </c>
      <c r="K134" s="10" t="s">
        <v>544</v>
      </c>
      <c r="L134" s="12"/>
      <c r="M134" s="13" t="s">
        <v>537</v>
      </c>
    </row>
    <row r="135" customFormat="false" ht="33.75" hidden="false" customHeight="true" outlineLevel="0" collapsed="false">
      <c r="B135" s="9" t="n">
        <v>127</v>
      </c>
      <c r="C135" s="10" t="s">
        <v>545</v>
      </c>
      <c r="D135" s="10" t="s">
        <v>546</v>
      </c>
      <c r="E135" s="10" t="s">
        <v>59</v>
      </c>
      <c r="F135" s="11" t="s">
        <v>29</v>
      </c>
      <c r="G135" s="10" t="s">
        <v>206</v>
      </c>
      <c r="H135" s="10" t="s">
        <v>207</v>
      </c>
      <c r="I135" s="10" t="s">
        <v>506</v>
      </c>
      <c r="J135" s="10" t="s">
        <v>547</v>
      </c>
      <c r="K135" s="10"/>
      <c r="L135" s="12"/>
      <c r="M135" s="13" t="s">
        <v>516</v>
      </c>
    </row>
    <row r="136" customFormat="false" ht="33.75" hidden="false" customHeight="true" outlineLevel="0" collapsed="false">
      <c r="B136" s="9" t="n">
        <v>128</v>
      </c>
      <c r="C136" s="10" t="s">
        <v>548</v>
      </c>
      <c r="D136" s="10" t="s">
        <v>549</v>
      </c>
      <c r="E136" s="10" t="s">
        <v>550</v>
      </c>
      <c r="F136" s="11" t="s">
        <v>86</v>
      </c>
      <c r="G136" s="10" t="s">
        <v>206</v>
      </c>
      <c r="H136" s="10" t="s">
        <v>207</v>
      </c>
      <c r="I136" s="10" t="s">
        <v>31</v>
      </c>
      <c r="J136" s="10" t="s">
        <v>31</v>
      </c>
      <c r="K136" s="10" t="s">
        <v>551</v>
      </c>
      <c r="L136" s="12"/>
      <c r="M136" s="13" t="s">
        <v>31</v>
      </c>
    </row>
    <row r="137" customFormat="false" ht="48" hidden="false" customHeight="true" outlineLevel="0" collapsed="false">
      <c r="B137" s="9" t="n">
        <v>129</v>
      </c>
      <c r="C137" s="10" t="s">
        <v>548</v>
      </c>
      <c r="D137" s="10" t="s">
        <v>552</v>
      </c>
      <c r="E137" s="10" t="s">
        <v>553</v>
      </c>
      <c r="F137" s="11" t="s">
        <v>51</v>
      </c>
      <c r="G137" s="10" t="s">
        <v>206</v>
      </c>
      <c r="H137" s="10" t="s">
        <v>207</v>
      </c>
      <c r="I137" s="10" t="s">
        <v>554</v>
      </c>
      <c r="J137" s="10" t="s">
        <v>555</v>
      </c>
      <c r="K137" s="10" t="s">
        <v>556</v>
      </c>
      <c r="L137" s="12"/>
      <c r="M137" s="13" t="s">
        <v>507</v>
      </c>
    </row>
    <row r="138" customFormat="false" ht="48" hidden="false" customHeight="true" outlineLevel="0" collapsed="false">
      <c r="B138" s="9" t="n">
        <v>130</v>
      </c>
      <c r="C138" s="10" t="s">
        <v>557</v>
      </c>
      <c r="D138" s="10" t="s">
        <v>558</v>
      </c>
      <c r="E138" s="10" t="s">
        <v>559</v>
      </c>
      <c r="F138" s="11" t="s">
        <v>51</v>
      </c>
      <c r="G138" s="10" t="s">
        <v>560</v>
      </c>
      <c r="H138" s="10" t="s">
        <v>31</v>
      </c>
      <c r="I138" s="10" t="s">
        <v>561</v>
      </c>
      <c r="J138" s="10" t="s">
        <v>562</v>
      </c>
      <c r="K138" s="10" t="s">
        <v>563</v>
      </c>
      <c r="L138" s="12"/>
      <c r="M138" s="13" t="s">
        <v>564</v>
      </c>
    </row>
    <row r="139" customFormat="false" ht="33.75" hidden="false" customHeight="true" outlineLevel="0" collapsed="false">
      <c r="B139" s="9" t="n">
        <v>131</v>
      </c>
      <c r="C139" s="10" t="s">
        <v>565</v>
      </c>
      <c r="D139" s="10" t="s">
        <v>566</v>
      </c>
      <c r="E139" s="10" t="s">
        <v>567</v>
      </c>
      <c r="F139" s="11" t="s">
        <v>51</v>
      </c>
      <c r="G139" s="10" t="s">
        <v>560</v>
      </c>
      <c r="H139" s="10" t="s">
        <v>31</v>
      </c>
      <c r="I139" s="10" t="s">
        <v>568</v>
      </c>
      <c r="J139" s="10" t="s">
        <v>569</v>
      </c>
      <c r="K139" s="10" t="s">
        <v>570</v>
      </c>
      <c r="L139" s="12"/>
      <c r="M139" s="13" t="s">
        <v>531</v>
      </c>
    </row>
    <row r="140" customFormat="false" ht="25.5" hidden="false" customHeight="true" outlineLevel="0" collapsed="false">
      <c r="B140" s="9" t="n">
        <v>132</v>
      </c>
      <c r="C140" s="10" t="s">
        <v>565</v>
      </c>
      <c r="D140" s="10" t="s">
        <v>571</v>
      </c>
      <c r="E140" s="10" t="s">
        <v>59</v>
      </c>
      <c r="F140" s="11" t="s">
        <v>29</v>
      </c>
      <c r="G140" s="10" t="s">
        <v>560</v>
      </c>
      <c r="H140" s="10" t="s">
        <v>31</v>
      </c>
      <c r="I140" s="10" t="s">
        <v>572</v>
      </c>
      <c r="J140" s="10" t="s">
        <v>573</v>
      </c>
      <c r="K140" s="10"/>
      <c r="L140" s="12"/>
      <c r="M140" s="13" t="s">
        <v>531</v>
      </c>
    </row>
    <row r="141" customFormat="false" ht="33.75" hidden="false" customHeight="true" outlineLevel="0" collapsed="false">
      <c r="B141" s="9" t="n">
        <v>133</v>
      </c>
      <c r="C141" s="10" t="s">
        <v>565</v>
      </c>
      <c r="D141" s="10" t="s">
        <v>574</v>
      </c>
      <c r="E141" s="10" t="s">
        <v>31</v>
      </c>
      <c r="F141" s="11" t="s">
        <v>86</v>
      </c>
      <c r="G141" s="10" t="s">
        <v>201</v>
      </c>
      <c r="H141" s="10" t="s">
        <v>31</v>
      </c>
      <c r="I141" s="10" t="s">
        <v>31</v>
      </c>
      <c r="J141" s="10" t="s">
        <v>31</v>
      </c>
      <c r="K141" s="10" t="s">
        <v>363</v>
      </c>
      <c r="L141" s="12"/>
      <c r="M141" s="13" t="s">
        <v>531</v>
      </c>
    </row>
    <row r="142" customFormat="false" ht="33.75" hidden="false" customHeight="true" outlineLevel="0" collapsed="false">
      <c r="B142" s="9" t="n">
        <v>134</v>
      </c>
      <c r="C142" s="10" t="s">
        <v>565</v>
      </c>
      <c r="D142" s="10" t="s">
        <v>575</v>
      </c>
      <c r="E142" s="10" t="s">
        <v>59</v>
      </c>
      <c r="F142" s="11" t="s">
        <v>29</v>
      </c>
      <c r="G142" s="10" t="s">
        <v>560</v>
      </c>
      <c r="H142" s="10" t="s">
        <v>31</v>
      </c>
      <c r="I142" s="10" t="s">
        <v>576</v>
      </c>
      <c r="J142" s="10" t="s">
        <v>577</v>
      </c>
      <c r="K142" s="10"/>
      <c r="L142" s="12"/>
      <c r="M142" s="13" t="s">
        <v>578</v>
      </c>
    </row>
    <row r="143" customFormat="false" ht="33.75" hidden="false" customHeight="true" outlineLevel="0" collapsed="false">
      <c r="B143" s="9" t="n">
        <v>135</v>
      </c>
      <c r="C143" s="10" t="s">
        <v>579</v>
      </c>
      <c r="D143" s="10" t="s">
        <v>580</v>
      </c>
      <c r="E143" s="10" t="s">
        <v>581</v>
      </c>
      <c r="F143" s="11" t="s">
        <v>51</v>
      </c>
      <c r="G143" s="10" t="s">
        <v>560</v>
      </c>
      <c r="H143" s="10" t="s">
        <v>31</v>
      </c>
      <c r="I143" s="10" t="s">
        <v>582</v>
      </c>
      <c r="J143" s="10" t="s">
        <v>583</v>
      </c>
      <c r="K143" s="10" t="s">
        <v>584</v>
      </c>
      <c r="L143" s="12"/>
      <c r="M143" s="13" t="s">
        <v>585</v>
      </c>
    </row>
    <row r="144" customFormat="false" ht="33.75" hidden="false" customHeight="true" outlineLevel="0" collapsed="false">
      <c r="B144" s="9" t="n">
        <v>136</v>
      </c>
      <c r="C144" s="10" t="s">
        <v>579</v>
      </c>
      <c r="D144" s="10" t="s">
        <v>586</v>
      </c>
      <c r="E144" s="10" t="s">
        <v>587</v>
      </c>
      <c r="F144" s="11" t="s">
        <v>51</v>
      </c>
      <c r="G144" s="10" t="s">
        <v>560</v>
      </c>
      <c r="H144" s="10" t="s">
        <v>31</v>
      </c>
      <c r="I144" s="10" t="s">
        <v>582</v>
      </c>
      <c r="J144" s="10" t="s">
        <v>588</v>
      </c>
      <c r="K144" s="10" t="s">
        <v>589</v>
      </c>
      <c r="L144" s="12"/>
      <c r="M144" s="13" t="s">
        <v>590</v>
      </c>
    </row>
    <row r="145" customFormat="false" ht="33.75" hidden="false" customHeight="true" outlineLevel="0" collapsed="false">
      <c r="B145" s="9" t="n">
        <v>137</v>
      </c>
      <c r="C145" s="10" t="s">
        <v>591</v>
      </c>
      <c r="D145" s="10" t="s">
        <v>592</v>
      </c>
      <c r="E145" s="10" t="s">
        <v>59</v>
      </c>
      <c r="F145" s="11" t="s">
        <v>29</v>
      </c>
      <c r="G145" s="10" t="s">
        <v>560</v>
      </c>
      <c r="H145" s="10" t="s">
        <v>31</v>
      </c>
      <c r="I145" s="10" t="s">
        <v>593</v>
      </c>
      <c r="J145" s="10" t="s">
        <v>594</v>
      </c>
      <c r="K145" s="10"/>
      <c r="L145" s="12"/>
      <c r="M145" s="13" t="s">
        <v>595</v>
      </c>
    </row>
    <row r="146" customFormat="false" ht="33.75" hidden="false" customHeight="true" outlineLevel="0" collapsed="false">
      <c r="B146" s="9" t="n">
        <v>138</v>
      </c>
      <c r="C146" s="10" t="s">
        <v>596</v>
      </c>
      <c r="D146" s="10" t="s">
        <v>597</v>
      </c>
      <c r="E146" s="10" t="s">
        <v>59</v>
      </c>
      <c r="F146" s="11" t="s">
        <v>29</v>
      </c>
      <c r="G146" s="10" t="s">
        <v>560</v>
      </c>
      <c r="H146" s="10" t="s">
        <v>31</v>
      </c>
      <c r="I146" s="10" t="s">
        <v>598</v>
      </c>
      <c r="J146" s="10" t="s">
        <v>599</v>
      </c>
      <c r="K146" s="10"/>
      <c r="L146" s="12"/>
      <c r="M146" s="13" t="s">
        <v>585</v>
      </c>
    </row>
    <row r="147" customFormat="false" ht="33.75" hidden="false" customHeight="true" outlineLevel="0" collapsed="false">
      <c r="B147" s="9" t="n">
        <v>139</v>
      </c>
      <c r="C147" s="10" t="s">
        <v>600</v>
      </c>
      <c r="D147" s="10" t="s">
        <v>601</v>
      </c>
      <c r="E147" s="10" t="s">
        <v>602</v>
      </c>
      <c r="F147" s="11" t="s">
        <v>51</v>
      </c>
      <c r="G147" s="10" t="s">
        <v>560</v>
      </c>
      <c r="H147" s="10" t="s">
        <v>31</v>
      </c>
      <c r="I147" s="10" t="s">
        <v>603</v>
      </c>
      <c r="J147" s="10" t="s">
        <v>604</v>
      </c>
      <c r="K147" s="10" t="s">
        <v>605</v>
      </c>
      <c r="L147" s="12"/>
      <c r="M147" s="13" t="s">
        <v>411</v>
      </c>
    </row>
    <row r="148" customFormat="false" ht="48" hidden="false" customHeight="true" outlineLevel="0" collapsed="false">
      <c r="B148" s="9" t="n">
        <v>140</v>
      </c>
      <c r="C148" s="10" t="s">
        <v>600</v>
      </c>
      <c r="D148" s="10" t="s">
        <v>606</v>
      </c>
      <c r="E148" s="10" t="s">
        <v>607</v>
      </c>
      <c r="F148" s="11" t="s">
        <v>51</v>
      </c>
      <c r="G148" s="10" t="s">
        <v>560</v>
      </c>
      <c r="H148" s="10" t="s">
        <v>31</v>
      </c>
      <c r="I148" s="10" t="s">
        <v>608</v>
      </c>
      <c r="J148" s="10" t="s">
        <v>609</v>
      </c>
      <c r="K148" s="10" t="s">
        <v>610</v>
      </c>
      <c r="L148" s="12"/>
      <c r="M148" s="13" t="s">
        <v>611</v>
      </c>
    </row>
    <row r="149" customFormat="false" ht="33.75" hidden="false" customHeight="true" outlineLevel="0" collapsed="false">
      <c r="B149" s="9" t="n">
        <v>141</v>
      </c>
      <c r="C149" s="10" t="s">
        <v>612</v>
      </c>
      <c r="D149" s="10" t="s">
        <v>613</v>
      </c>
      <c r="E149" s="10" t="s">
        <v>614</v>
      </c>
      <c r="F149" s="11" t="s">
        <v>51</v>
      </c>
      <c r="G149" s="10" t="s">
        <v>560</v>
      </c>
      <c r="H149" s="10" t="s">
        <v>31</v>
      </c>
      <c r="I149" s="10" t="s">
        <v>31</v>
      </c>
      <c r="J149" s="10" t="s">
        <v>31</v>
      </c>
      <c r="K149" s="10" t="s">
        <v>615</v>
      </c>
      <c r="L149" s="12"/>
      <c r="M149" s="13" t="s">
        <v>411</v>
      </c>
    </row>
    <row r="150" customFormat="false" ht="33.75" hidden="false" customHeight="true" outlineLevel="0" collapsed="false">
      <c r="B150" s="9" t="n">
        <v>142</v>
      </c>
      <c r="C150" s="10" t="s">
        <v>616</v>
      </c>
      <c r="D150" s="10" t="s">
        <v>617</v>
      </c>
      <c r="E150" s="10" t="s">
        <v>59</v>
      </c>
      <c r="F150" s="11" t="s">
        <v>29</v>
      </c>
      <c r="G150" s="10" t="s">
        <v>560</v>
      </c>
      <c r="H150" s="10" t="s">
        <v>31</v>
      </c>
      <c r="I150" s="10" t="s">
        <v>618</v>
      </c>
      <c r="J150" s="10" t="s">
        <v>619</v>
      </c>
      <c r="K150" s="10"/>
      <c r="L150" s="12"/>
      <c r="M150" s="13" t="s">
        <v>620</v>
      </c>
    </row>
    <row r="151" customFormat="false" ht="48" hidden="false" customHeight="true" outlineLevel="0" collapsed="false">
      <c r="B151" s="9" t="n">
        <v>143</v>
      </c>
      <c r="C151" s="10" t="s">
        <v>621</v>
      </c>
      <c r="D151" s="10" t="s">
        <v>622</v>
      </c>
      <c r="E151" s="10" t="s">
        <v>623</v>
      </c>
      <c r="F151" s="11" t="s">
        <v>51</v>
      </c>
      <c r="G151" s="10" t="s">
        <v>560</v>
      </c>
      <c r="H151" s="10" t="s">
        <v>31</v>
      </c>
      <c r="I151" s="10" t="s">
        <v>561</v>
      </c>
      <c r="J151" s="10" t="s">
        <v>624</v>
      </c>
      <c r="K151" s="10" t="s">
        <v>625</v>
      </c>
      <c r="L151" s="12"/>
      <c r="M151" s="13" t="s">
        <v>626</v>
      </c>
    </row>
    <row r="152" customFormat="false" ht="33.75" hidden="false" customHeight="true" outlineLevel="0" collapsed="false">
      <c r="B152" s="9" t="n">
        <v>144</v>
      </c>
      <c r="C152" s="10" t="s">
        <v>627</v>
      </c>
      <c r="D152" s="10" t="s">
        <v>628</v>
      </c>
      <c r="E152" s="10" t="s">
        <v>59</v>
      </c>
      <c r="F152" s="11" t="s">
        <v>29</v>
      </c>
      <c r="G152" s="10" t="s">
        <v>560</v>
      </c>
      <c r="H152" s="10" t="s">
        <v>31</v>
      </c>
      <c r="I152" s="10" t="s">
        <v>629</v>
      </c>
      <c r="J152" s="10" t="s">
        <v>630</v>
      </c>
      <c r="K152" s="10" t="s">
        <v>631</v>
      </c>
      <c r="L152" s="12"/>
      <c r="M152" s="13" t="s">
        <v>632</v>
      </c>
    </row>
    <row r="153" customFormat="false" ht="33.75" hidden="false" customHeight="true" outlineLevel="0" collapsed="false">
      <c r="B153" s="9" t="n">
        <v>145</v>
      </c>
      <c r="C153" s="10" t="s">
        <v>633</v>
      </c>
      <c r="D153" s="10" t="s">
        <v>634</v>
      </c>
      <c r="E153" s="10" t="s">
        <v>59</v>
      </c>
      <c r="F153" s="11" t="s">
        <v>29</v>
      </c>
      <c r="G153" s="10" t="s">
        <v>560</v>
      </c>
      <c r="H153" s="10" t="s">
        <v>31</v>
      </c>
      <c r="I153" s="10" t="s">
        <v>216</v>
      </c>
      <c r="J153" s="10" t="s">
        <v>635</v>
      </c>
      <c r="K153" s="10"/>
      <c r="L153" s="12"/>
      <c r="M153" s="13" t="s">
        <v>636</v>
      </c>
    </row>
    <row r="154" customFormat="false" ht="33.75" hidden="false" customHeight="true" outlineLevel="0" collapsed="false">
      <c r="B154" s="9" t="n">
        <v>146</v>
      </c>
      <c r="C154" s="10" t="s">
        <v>633</v>
      </c>
      <c r="D154" s="10" t="s">
        <v>637</v>
      </c>
      <c r="E154" s="10" t="s">
        <v>638</v>
      </c>
      <c r="F154" s="11" t="s">
        <v>51</v>
      </c>
      <c r="G154" s="10" t="s">
        <v>201</v>
      </c>
      <c r="H154" s="10" t="s">
        <v>31</v>
      </c>
      <c r="I154" s="10" t="s">
        <v>216</v>
      </c>
      <c r="J154" s="10" t="s">
        <v>639</v>
      </c>
      <c r="K154" s="10" t="s">
        <v>640</v>
      </c>
      <c r="L154" s="12"/>
      <c r="M154" s="13" t="s">
        <v>620</v>
      </c>
    </row>
    <row r="155" customFormat="false" ht="25.5" hidden="false" customHeight="true" outlineLevel="0" collapsed="false">
      <c r="B155" s="9" t="n">
        <v>147</v>
      </c>
      <c r="C155" s="10" t="s">
        <v>633</v>
      </c>
      <c r="D155" s="10" t="s">
        <v>641</v>
      </c>
      <c r="E155" s="10" t="s">
        <v>31</v>
      </c>
      <c r="F155" s="11" t="s">
        <v>86</v>
      </c>
      <c r="G155" s="10" t="s">
        <v>560</v>
      </c>
      <c r="H155" s="10" t="s">
        <v>31</v>
      </c>
      <c r="I155" s="10" t="s">
        <v>31</v>
      </c>
      <c r="J155" s="10" t="s">
        <v>31</v>
      </c>
      <c r="K155" s="10" t="s">
        <v>363</v>
      </c>
      <c r="L155" s="12"/>
      <c r="M155" s="13" t="s">
        <v>642</v>
      </c>
    </row>
    <row r="156" customFormat="false" ht="33.75" hidden="false" customHeight="true" outlineLevel="0" collapsed="false">
      <c r="B156" s="9" t="n">
        <v>148</v>
      </c>
      <c r="C156" s="10" t="s">
        <v>643</v>
      </c>
      <c r="D156" s="10" t="s">
        <v>644</v>
      </c>
      <c r="E156" s="10" t="s">
        <v>59</v>
      </c>
      <c r="F156" s="11" t="s">
        <v>29</v>
      </c>
      <c r="G156" s="10" t="s">
        <v>215</v>
      </c>
      <c r="H156" s="10" t="s">
        <v>207</v>
      </c>
      <c r="I156" s="10" t="s">
        <v>608</v>
      </c>
      <c r="J156" s="10" t="s">
        <v>645</v>
      </c>
      <c r="K156" s="10" t="s">
        <v>646</v>
      </c>
      <c r="L156" s="12"/>
      <c r="M156" s="13" t="s">
        <v>647</v>
      </c>
    </row>
    <row r="157" customFormat="false" ht="33.75" hidden="false" customHeight="true" outlineLevel="0" collapsed="false">
      <c r="B157" s="9" t="n">
        <v>149</v>
      </c>
      <c r="C157" s="10" t="s">
        <v>643</v>
      </c>
      <c r="D157" s="10" t="s">
        <v>648</v>
      </c>
      <c r="E157" s="10" t="s">
        <v>31</v>
      </c>
      <c r="F157" s="11" t="s">
        <v>86</v>
      </c>
      <c r="G157" s="10" t="s">
        <v>174</v>
      </c>
      <c r="H157" s="10" t="s">
        <v>31</v>
      </c>
      <c r="I157" s="10" t="s">
        <v>31</v>
      </c>
      <c r="J157" s="10" t="s">
        <v>31</v>
      </c>
      <c r="K157" s="10" t="s">
        <v>363</v>
      </c>
      <c r="L157" s="12"/>
      <c r="M157" s="13" t="s">
        <v>31</v>
      </c>
    </row>
    <row r="158" customFormat="false" ht="33.75" hidden="false" customHeight="true" outlineLevel="0" collapsed="false">
      <c r="B158" s="9" t="n">
        <v>150</v>
      </c>
      <c r="C158" s="10" t="s">
        <v>643</v>
      </c>
      <c r="D158" s="10" t="s">
        <v>649</v>
      </c>
      <c r="E158" s="10" t="s">
        <v>650</v>
      </c>
      <c r="F158" s="11" t="s">
        <v>86</v>
      </c>
      <c r="G158" s="10" t="s">
        <v>174</v>
      </c>
      <c r="H158" s="10" t="s">
        <v>31</v>
      </c>
      <c r="I158" s="10" t="s">
        <v>31</v>
      </c>
      <c r="J158" s="10" t="s">
        <v>31</v>
      </c>
      <c r="K158" s="10" t="s">
        <v>651</v>
      </c>
      <c r="L158" s="12"/>
      <c r="M158" s="13" t="s">
        <v>31</v>
      </c>
    </row>
  </sheetData>
  <autoFilter ref="B8:M158"/>
  <conditionalFormatting sqref="F9:F158">
    <cfRule type="cellIs" priority="2" operator="equal" aboveAverage="0" equalAverage="0" bottom="0" percent="0" rank="0" text="" dxfId="13">
      <formula>"Completed"</formula>
    </cfRule>
    <cfRule type="cellIs" priority="3" operator="equal" aboveAverage="0" equalAverage="0" bottom="0" percent="0" rank="0" text="" dxfId="14">
      <formula>"In Progress"</formula>
    </cfRule>
    <cfRule type="cellIs" priority="4" operator="equal" aboveAverage="0" equalAverage="0" bottom="0" percent="0" rank="0" text="" dxfId="15">
      <formula>"In Review"</formula>
    </cfRule>
    <cfRule type="cellIs" priority="5" operator="equal" aboveAverage="0" equalAverage="0" bottom="0" percent="0" rank="0" text="" dxfId="16">
      <formula>"Planned"</formula>
    </cfRule>
  </conditionalFormatting>
  <dataValidations count="1">
    <dataValidation allowBlank="false" error="Choose Completed, In Progress, In Review or Planned." errorStyle="stop" errorTitle="Status" operator="between" showDropDown="false" showErrorMessage="false" showInputMessage="false" sqref="F9:F158" type="list">
      <formula1>"Completed,In Progress,In Review,Planned"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46"/>
    <col collapsed="false" customWidth="true" hidden="false" outlineLevel="0" max="3" min="3" style="0" width="12"/>
    <col collapsed="false" customWidth="true" hidden="false" outlineLevel="0" max="7" min="4" style="0" width="13"/>
    <col collapsed="false" customWidth="true" hidden="false" outlineLevel="0" max="8" min="8" style="0" width="15"/>
  </cols>
  <sheetData>
    <row r="2" customFormat="false" ht="19.7" hidden="false" customHeight="false" outlineLevel="0" collapsed="false">
      <c r="B2" s="14" t="s">
        <v>652</v>
      </c>
    </row>
    <row r="4" customFormat="false" ht="15" hidden="false" customHeight="false" outlineLevel="0" collapsed="false">
      <c r="B4" s="15" t="s">
        <v>15</v>
      </c>
      <c r="C4" s="16" t="s">
        <v>653</v>
      </c>
      <c r="D4" s="16" t="s">
        <v>29</v>
      </c>
      <c r="E4" s="16" t="s">
        <v>51</v>
      </c>
      <c r="F4" s="16" t="s">
        <v>294</v>
      </c>
      <c r="G4" s="16" t="s">
        <v>86</v>
      </c>
      <c r="H4" s="16" t="s">
        <v>654</v>
      </c>
    </row>
    <row r="5" customFormat="false" ht="15" hidden="false" customHeight="false" outlineLevel="0" collapsed="false">
      <c r="B5" s="17" t="s">
        <v>26</v>
      </c>
      <c r="C5" s="18" t="n">
        <f aca="false">COUNTIF('Master Requirements Tracker'!$C$9:$C$158,B5)</f>
        <v>8</v>
      </c>
      <c r="D5" s="18" t="n">
        <f aca="false">COUNTIFS('Master Requirements Tracker'!$C$9:$C$158,B5,'Master Requirements Tracker'!$F$9:$F$158,"Completed")</f>
        <v>7</v>
      </c>
      <c r="E5" s="18" t="n">
        <f aca="false">COUNTIFS('Master Requirements Tracker'!$C$9:$C$158,B5,'Master Requirements Tracker'!$F$9:$F$158,"In Progress")</f>
        <v>1</v>
      </c>
      <c r="F5" s="18" t="n">
        <f aca="false">COUNTIFS('Master Requirements Tracker'!$C$9:$C$158,B5,'Master Requirements Tracker'!$F$9:$F$158,"In Review")</f>
        <v>0</v>
      </c>
      <c r="G5" s="18" t="n">
        <f aca="false">COUNTIFS('Master Requirements Tracker'!$C$9:$C$158,B5,'Master Requirements Tracker'!$F$9:$F$158,"Planned")</f>
        <v>0</v>
      </c>
      <c r="H5" s="19" t="n">
        <f aca="false">IF(C5&gt;0,D5/C5,0)</f>
        <v>0.875</v>
      </c>
    </row>
    <row r="6" customFormat="false" ht="15" hidden="false" customHeight="false" outlineLevel="0" collapsed="false">
      <c r="B6" s="17" t="s">
        <v>65</v>
      </c>
      <c r="C6" s="18" t="n">
        <f aca="false">COUNTIF('Master Requirements Tracker'!$C$9:$C$158,B6)</f>
        <v>10</v>
      </c>
      <c r="D6" s="18" t="n">
        <f aca="false">COUNTIFS('Master Requirements Tracker'!$C$9:$C$158,B6,'Master Requirements Tracker'!$F$9:$F$158,"Completed")</f>
        <v>6</v>
      </c>
      <c r="E6" s="18" t="n">
        <f aca="false">COUNTIFS('Master Requirements Tracker'!$C$9:$C$158,B6,'Master Requirements Tracker'!$F$9:$F$158,"In Progress")</f>
        <v>3</v>
      </c>
      <c r="F6" s="18" t="n">
        <f aca="false">COUNTIFS('Master Requirements Tracker'!$C$9:$C$158,B6,'Master Requirements Tracker'!$F$9:$F$158,"In Review")</f>
        <v>0</v>
      </c>
      <c r="G6" s="18" t="n">
        <f aca="false">COUNTIFS('Master Requirements Tracker'!$C$9:$C$158,B6,'Master Requirements Tracker'!$F$9:$F$158,"Planned")</f>
        <v>1</v>
      </c>
      <c r="H6" s="19" t="n">
        <f aca="false">IF(C6&gt;0,D6/C6,0)</f>
        <v>0.6</v>
      </c>
    </row>
    <row r="7" customFormat="false" ht="15" hidden="false" customHeight="false" outlineLevel="0" collapsed="false">
      <c r="B7" s="17" t="s">
        <v>111</v>
      </c>
      <c r="C7" s="18" t="n">
        <f aca="false">COUNTIF('Master Requirements Tracker'!$C$9:$C$158,B7)</f>
        <v>3</v>
      </c>
      <c r="D7" s="18" t="n">
        <f aca="false">COUNTIFS('Master Requirements Tracker'!$C$9:$C$158,B7,'Master Requirements Tracker'!$F$9:$F$158,"Completed")</f>
        <v>2</v>
      </c>
      <c r="E7" s="18" t="n">
        <f aca="false">COUNTIFS('Master Requirements Tracker'!$C$9:$C$158,B7,'Master Requirements Tracker'!$F$9:$F$158,"In Progress")</f>
        <v>0</v>
      </c>
      <c r="F7" s="18" t="n">
        <f aca="false">COUNTIFS('Master Requirements Tracker'!$C$9:$C$158,B7,'Master Requirements Tracker'!$F$9:$F$158,"In Review")</f>
        <v>0</v>
      </c>
      <c r="G7" s="18" t="n">
        <f aca="false">COUNTIFS('Master Requirements Tracker'!$C$9:$C$158,B7,'Master Requirements Tracker'!$F$9:$F$158,"Planned")</f>
        <v>1</v>
      </c>
      <c r="H7" s="19" t="n">
        <f aca="false">IF(C7&gt;0,D7/C7,0)</f>
        <v>0.666666666666667</v>
      </c>
    </row>
    <row r="8" customFormat="false" ht="15" hidden="false" customHeight="false" outlineLevel="0" collapsed="false">
      <c r="B8" s="17" t="s">
        <v>124</v>
      </c>
      <c r="C8" s="18" t="n">
        <f aca="false">COUNTIF('Master Requirements Tracker'!$C$9:$C$158,B8)</f>
        <v>13</v>
      </c>
      <c r="D8" s="18" t="n">
        <f aca="false">COUNTIFS('Master Requirements Tracker'!$C$9:$C$158,B8,'Master Requirements Tracker'!$F$9:$F$158,"Completed")</f>
        <v>13</v>
      </c>
      <c r="E8" s="18" t="n">
        <f aca="false">COUNTIFS('Master Requirements Tracker'!$C$9:$C$158,B8,'Master Requirements Tracker'!$F$9:$F$158,"In Progress")</f>
        <v>0</v>
      </c>
      <c r="F8" s="18" t="n">
        <f aca="false">COUNTIFS('Master Requirements Tracker'!$C$9:$C$158,B8,'Master Requirements Tracker'!$F$9:$F$158,"In Review")</f>
        <v>0</v>
      </c>
      <c r="G8" s="18" t="n">
        <f aca="false">COUNTIFS('Master Requirements Tracker'!$C$9:$C$158,B8,'Master Requirements Tracker'!$F$9:$F$158,"Planned")</f>
        <v>0</v>
      </c>
      <c r="H8" s="19" t="n">
        <f aca="false">IF(C8&gt;0,D8/C8,0)</f>
        <v>1</v>
      </c>
    </row>
    <row r="9" customFormat="false" ht="15" hidden="false" customHeight="false" outlineLevel="0" collapsed="false">
      <c r="B9" s="17" t="s">
        <v>178</v>
      </c>
      <c r="C9" s="18" t="n">
        <f aca="false">COUNTIF('Master Requirements Tracker'!$C$9:$C$158,B9)</f>
        <v>1</v>
      </c>
      <c r="D9" s="18" t="n">
        <f aca="false">COUNTIFS('Master Requirements Tracker'!$C$9:$C$158,B9,'Master Requirements Tracker'!$F$9:$F$158,"Completed")</f>
        <v>1</v>
      </c>
      <c r="E9" s="18" t="n">
        <f aca="false">COUNTIFS('Master Requirements Tracker'!$C$9:$C$158,B9,'Master Requirements Tracker'!$F$9:$F$158,"In Progress")</f>
        <v>0</v>
      </c>
      <c r="F9" s="18" t="n">
        <f aca="false">COUNTIFS('Master Requirements Tracker'!$C$9:$C$158,B9,'Master Requirements Tracker'!$F$9:$F$158,"In Review")</f>
        <v>0</v>
      </c>
      <c r="G9" s="18" t="n">
        <f aca="false">COUNTIFS('Master Requirements Tracker'!$C$9:$C$158,B9,'Master Requirements Tracker'!$F$9:$F$158,"Planned")</f>
        <v>0</v>
      </c>
      <c r="H9" s="19" t="n">
        <f aca="false">IF(C9&gt;0,D9/C9,0)</f>
        <v>1</v>
      </c>
    </row>
    <row r="10" customFormat="false" ht="15" hidden="false" customHeight="false" outlineLevel="0" collapsed="false">
      <c r="B10" s="17" t="s">
        <v>183</v>
      </c>
      <c r="C10" s="18" t="n">
        <f aca="false">COUNTIF('Master Requirements Tracker'!$C$9:$C$158,B10)</f>
        <v>2</v>
      </c>
      <c r="D10" s="18" t="n">
        <f aca="false">COUNTIFS('Master Requirements Tracker'!$C$9:$C$158,B10,'Master Requirements Tracker'!$F$9:$F$158,"Completed")</f>
        <v>2</v>
      </c>
      <c r="E10" s="18" t="n">
        <f aca="false">COUNTIFS('Master Requirements Tracker'!$C$9:$C$158,B10,'Master Requirements Tracker'!$F$9:$F$158,"In Progress")</f>
        <v>0</v>
      </c>
      <c r="F10" s="18" t="n">
        <f aca="false">COUNTIFS('Master Requirements Tracker'!$C$9:$C$158,B10,'Master Requirements Tracker'!$F$9:$F$158,"In Review")</f>
        <v>0</v>
      </c>
      <c r="G10" s="18" t="n">
        <f aca="false">COUNTIFS('Master Requirements Tracker'!$C$9:$C$158,B10,'Master Requirements Tracker'!$F$9:$F$158,"Planned")</f>
        <v>0</v>
      </c>
      <c r="H10" s="19" t="n">
        <f aca="false">IF(C10&gt;0,D10/C10,0)</f>
        <v>1</v>
      </c>
    </row>
    <row r="11" customFormat="false" ht="15" hidden="false" customHeight="false" outlineLevel="0" collapsed="false">
      <c r="B11" s="17" t="s">
        <v>193</v>
      </c>
      <c r="C11" s="18" t="n">
        <f aca="false">COUNTIF('Master Requirements Tracker'!$C$9:$C$158,B11)</f>
        <v>3</v>
      </c>
      <c r="D11" s="18" t="n">
        <f aca="false">COUNTIFS('Master Requirements Tracker'!$C$9:$C$158,B11,'Master Requirements Tracker'!$F$9:$F$158,"Completed")</f>
        <v>2</v>
      </c>
      <c r="E11" s="18" t="n">
        <f aca="false">COUNTIFS('Master Requirements Tracker'!$C$9:$C$158,B11,'Master Requirements Tracker'!$F$9:$F$158,"In Progress")</f>
        <v>0</v>
      </c>
      <c r="F11" s="18" t="n">
        <f aca="false">COUNTIFS('Master Requirements Tracker'!$C$9:$C$158,B11,'Master Requirements Tracker'!$F$9:$F$158,"In Review")</f>
        <v>0</v>
      </c>
      <c r="G11" s="18" t="n">
        <f aca="false">COUNTIFS('Master Requirements Tracker'!$C$9:$C$158,B11,'Master Requirements Tracker'!$F$9:$F$158,"Planned")</f>
        <v>1</v>
      </c>
      <c r="H11" s="19" t="n">
        <f aca="false">IF(C11&gt;0,D11/C11,0)</f>
        <v>0.666666666666667</v>
      </c>
    </row>
    <row r="12" customFormat="false" ht="15" hidden="false" customHeight="false" outlineLevel="0" collapsed="false">
      <c r="B12" s="17" t="s">
        <v>203</v>
      </c>
      <c r="C12" s="18" t="n">
        <f aca="false">COUNTIF('Master Requirements Tracker'!$C$9:$C$158,B12)</f>
        <v>7</v>
      </c>
      <c r="D12" s="18" t="n">
        <f aca="false">COUNTIFS('Master Requirements Tracker'!$C$9:$C$158,B12,'Master Requirements Tracker'!$F$9:$F$158,"Completed")</f>
        <v>6</v>
      </c>
      <c r="E12" s="18" t="n">
        <f aca="false">COUNTIFS('Master Requirements Tracker'!$C$9:$C$158,B12,'Master Requirements Tracker'!$F$9:$F$158,"In Progress")</f>
        <v>1</v>
      </c>
      <c r="F12" s="18" t="n">
        <f aca="false">COUNTIFS('Master Requirements Tracker'!$C$9:$C$158,B12,'Master Requirements Tracker'!$F$9:$F$158,"In Review")</f>
        <v>0</v>
      </c>
      <c r="G12" s="18" t="n">
        <f aca="false">COUNTIFS('Master Requirements Tracker'!$C$9:$C$158,B12,'Master Requirements Tracker'!$F$9:$F$158,"Planned")</f>
        <v>0</v>
      </c>
      <c r="H12" s="19" t="n">
        <f aca="false">IF(C12&gt;0,D12/C12,0)</f>
        <v>0.857142857142857</v>
      </c>
    </row>
    <row r="13" customFormat="false" ht="15" hidden="false" customHeight="false" outlineLevel="0" collapsed="false">
      <c r="B13" s="17" t="s">
        <v>232</v>
      </c>
      <c r="C13" s="18" t="n">
        <f aca="false">COUNTIF('Master Requirements Tracker'!$C$9:$C$158,B13)</f>
        <v>7</v>
      </c>
      <c r="D13" s="18" t="n">
        <f aca="false">COUNTIFS('Master Requirements Tracker'!$C$9:$C$158,B13,'Master Requirements Tracker'!$F$9:$F$158,"Completed")</f>
        <v>4</v>
      </c>
      <c r="E13" s="18" t="n">
        <f aca="false">COUNTIFS('Master Requirements Tracker'!$C$9:$C$158,B13,'Master Requirements Tracker'!$F$9:$F$158,"In Progress")</f>
        <v>3</v>
      </c>
      <c r="F13" s="18" t="n">
        <f aca="false">COUNTIFS('Master Requirements Tracker'!$C$9:$C$158,B13,'Master Requirements Tracker'!$F$9:$F$158,"In Review")</f>
        <v>0</v>
      </c>
      <c r="G13" s="18" t="n">
        <f aca="false">COUNTIFS('Master Requirements Tracker'!$C$9:$C$158,B13,'Master Requirements Tracker'!$F$9:$F$158,"Planned")</f>
        <v>0</v>
      </c>
      <c r="H13" s="19" t="n">
        <f aca="false">IF(C13&gt;0,D13/C13,0)</f>
        <v>0.571428571428571</v>
      </c>
    </row>
    <row r="14" customFormat="false" ht="15" hidden="false" customHeight="false" outlineLevel="0" collapsed="false">
      <c r="B14" s="17" t="s">
        <v>264</v>
      </c>
      <c r="C14" s="18" t="n">
        <f aca="false">COUNTIF('Master Requirements Tracker'!$C$9:$C$158,B14)</f>
        <v>1</v>
      </c>
      <c r="D14" s="18" t="n">
        <f aca="false">COUNTIFS('Master Requirements Tracker'!$C$9:$C$158,B14,'Master Requirements Tracker'!$F$9:$F$158,"Completed")</f>
        <v>0</v>
      </c>
      <c r="E14" s="18" t="n">
        <f aca="false">COUNTIFS('Master Requirements Tracker'!$C$9:$C$158,B14,'Master Requirements Tracker'!$F$9:$F$158,"In Progress")</f>
        <v>1</v>
      </c>
      <c r="F14" s="18" t="n">
        <f aca="false">COUNTIFS('Master Requirements Tracker'!$C$9:$C$158,B14,'Master Requirements Tracker'!$F$9:$F$158,"In Review")</f>
        <v>0</v>
      </c>
      <c r="G14" s="18" t="n">
        <f aca="false">COUNTIFS('Master Requirements Tracker'!$C$9:$C$158,B14,'Master Requirements Tracker'!$F$9:$F$158,"Planned")</f>
        <v>0</v>
      </c>
      <c r="H14" s="19" t="n">
        <f aca="false">IF(C14&gt;0,D14/C14,0)</f>
        <v>0</v>
      </c>
    </row>
    <row r="15" customFormat="false" ht="15" hidden="false" customHeight="false" outlineLevel="0" collapsed="false">
      <c r="B15" s="17" t="s">
        <v>271</v>
      </c>
      <c r="C15" s="18" t="n">
        <f aca="false">COUNTIF('Master Requirements Tracker'!$C$9:$C$158,B15)</f>
        <v>2</v>
      </c>
      <c r="D15" s="18" t="n">
        <f aca="false">COUNTIFS('Master Requirements Tracker'!$C$9:$C$158,B15,'Master Requirements Tracker'!$F$9:$F$158,"Completed")</f>
        <v>2</v>
      </c>
      <c r="E15" s="18" t="n">
        <f aca="false">COUNTIFS('Master Requirements Tracker'!$C$9:$C$158,B15,'Master Requirements Tracker'!$F$9:$F$158,"In Progress")</f>
        <v>0</v>
      </c>
      <c r="F15" s="18" t="n">
        <f aca="false">COUNTIFS('Master Requirements Tracker'!$C$9:$C$158,B15,'Master Requirements Tracker'!$F$9:$F$158,"In Review")</f>
        <v>0</v>
      </c>
      <c r="G15" s="18" t="n">
        <f aca="false">COUNTIFS('Master Requirements Tracker'!$C$9:$C$158,B15,'Master Requirements Tracker'!$F$9:$F$158,"Planned")</f>
        <v>0</v>
      </c>
      <c r="H15" s="19" t="n">
        <f aca="false">IF(C15&gt;0,D15/C15,0)</f>
        <v>1</v>
      </c>
    </row>
    <row r="16" customFormat="false" ht="15" hidden="false" customHeight="false" outlineLevel="0" collapsed="false">
      <c r="B16" s="17" t="s">
        <v>278</v>
      </c>
      <c r="C16" s="18" t="n">
        <f aca="false">COUNTIF('Master Requirements Tracker'!$C$9:$C$158,B16)</f>
        <v>2</v>
      </c>
      <c r="D16" s="18" t="n">
        <f aca="false">COUNTIFS('Master Requirements Tracker'!$C$9:$C$158,B16,'Master Requirements Tracker'!$F$9:$F$158,"Completed")</f>
        <v>0</v>
      </c>
      <c r="E16" s="18" t="n">
        <f aca="false">COUNTIFS('Master Requirements Tracker'!$C$9:$C$158,B16,'Master Requirements Tracker'!$F$9:$F$158,"In Progress")</f>
        <v>1</v>
      </c>
      <c r="F16" s="18" t="n">
        <f aca="false">COUNTIFS('Master Requirements Tracker'!$C$9:$C$158,B16,'Master Requirements Tracker'!$F$9:$F$158,"In Review")</f>
        <v>0</v>
      </c>
      <c r="G16" s="18" t="n">
        <f aca="false">COUNTIFS('Master Requirements Tracker'!$C$9:$C$158,B16,'Master Requirements Tracker'!$F$9:$F$158,"Planned")</f>
        <v>1</v>
      </c>
      <c r="H16" s="19" t="n">
        <f aca="false">IF(C16&gt;0,D16/C16,0)</f>
        <v>0</v>
      </c>
    </row>
    <row r="17" customFormat="false" ht="15" hidden="false" customHeight="false" outlineLevel="0" collapsed="false">
      <c r="B17" s="17" t="s">
        <v>285</v>
      </c>
      <c r="C17" s="18" t="n">
        <f aca="false">COUNTIF('Master Requirements Tracker'!$C$9:$C$158,B17)</f>
        <v>3</v>
      </c>
      <c r="D17" s="18" t="n">
        <f aca="false">COUNTIFS('Master Requirements Tracker'!$C$9:$C$158,B17,'Master Requirements Tracker'!$F$9:$F$158,"Completed")</f>
        <v>1</v>
      </c>
      <c r="E17" s="18" t="n">
        <f aca="false">COUNTIFS('Master Requirements Tracker'!$C$9:$C$158,B17,'Master Requirements Tracker'!$F$9:$F$158,"In Progress")</f>
        <v>0</v>
      </c>
      <c r="F17" s="18" t="n">
        <f aca="false">COUNTIFS('Master Requirements Tracker'!$C$9:$C$158,B17,'Master Requirements Tracker'!$F$9:$F$158,"In Review")</f>
        <v>1</v>
      </c>
      <c r="G17" s="18" t="n">
        <f aca="false">COUNTIFS('Master Requirements Tracker'!$C$9:$C$158,B17,'Master Requirements Tracker'!$F$9:$F$158,"Planned")</f>
        <v>1</v>
      </c>
      <c r="H17" s="19" t="n">
        <f aca="false">IF(C17&gt;0,D17/C17,0)</f>
        <v>0.333333333333333</v>
      </c>
    </row>
    <row r="18" customFormat="false" ht="15" hidden="false" customHeight="false" outlineLevel="0" collapsed="false">
      <c r="B18" s="17" t="s">
        <v>296</v>
      </c>
      <c r="C18" s="18" t="n">
        <f aca="false">COUNTIF('Master Requirements Tracker'!$C$9:$C$158,B18)</f>
        <v>2</v>
      </c>
      <c r="D18" s="18" t="n">
        <f aca="false">COUNTIFS('Master Requirements Tracker'!$C$9:$C$158,B18,'Master Requirements Tracker'!$F$9:$F$158,"Completed")</f>
        <v>2</v>
      </c>
      <c r="E18" s="18" t="n">
        <f aca="false">COUNTIFS('Master Requirements Tracker'!$C$9:$C$158,B18,'Master Requirements Tracker'!$F$9:$F$158,"In Progress")</f>
        <v>0</v>
      </c>
      <c r="F18" s="18" t="n">
        <f aca="false">COUNTIFS('Master Requirements Tracker'!$C$9:$C$158,B18,'Master Requirements Tracker'!$F$9:$F$158,"In Review")</f>
        <v>0</v>
      </c>
      <c r="G18" s="18" t="n">
        <f aca="false">COUNTIFS('Master Requirements Tracker'!$C$9:$C$158,B18,'Master Requirements Tracker'!$F$9:$F$158,"Planned")</f>
        <v>0</v>
      </c>
      <c r="H18" s="19" t="n">
        <f aca="false">IF(C18&gt;0,D18/C18,0)</f>
        <v>1</v>
      </c>
    </row>
    <row r="19" customFormat="false" ht="15" hidden="false" customHeight="false" outlineLevel="0" collapsed="false">
      <c r="B19" s="17" t="s">
        <v>303</v>
      </c>
      <c r="C19" s="18" t="n">
        <f aca="false">COUNTIF('Master Requirements Tracker'!$C$9:$C$158,B19)</f>
        <v>4</v>
      </c>
      <c r="D19" s="18" t="n">
        <f aca="false">COUNTIFS('Master Requirements Tracker'!$C$9:$C$158,B19,'Master Requirements Tracker'!$F$9:$F$158,"Completed")</f>
        <v>3</v>
      </c>
      <c r="E19" s="18" t="n">
        <f aca="false">COUNTIFS('Master Requirements Tracker'!$C$9:$C$158,B19,'Master Requirements Tracker'!$F$9:$F$158,"In Progress")</f>
        <v>1</v>
      </c>
      <c r="F19" s="18" t="n">
        <f aca="false">COUNTIFS('Master Requirements Tracker'!$C$9:$C$158,B19,'Master Requirements Tracker'!$F$9:$F$158,"In Review")</f>
        <v>0</v>
      </c>
      <c r="G19" s="18" t="n">
        <f aca="false">COUNTIFS('Master Requirements Tracker'!$C$9:$C$158,B19,'Master Requirements Tracker'!$F$9:$F$158,"Planned")</f>
        <v>0</v>
      </c>
      <c r="H19" s="19" t="n">
        <f aca="false">IF(C19&gt;0,D19/C19,0)</f>
        <v>0.75</v>
      </c>
    </row>
    <row r="20" customFormat="false" ht="15" hidden="false" customHeight="false" outlineLevel="0" collapsed="false">
      <c r="B20" s="17" t="s">
        <v>317</v>
      </c>
      <c r="C20" s="18" t="n">
        <f aca="false">COUNTIF('Master Requirements Tracker'!$C$9:$C$158,B20)</f>
        <v>7</v>
      </c>
      <c r="D20" s="18" t="n">
        <f aca="false">COUNTIFS('Master Requirements Tracker'!$C$9:$C$158,B20,'Master Requirements Tracker'!$F$9:$F$158,"Completed")</f>
        <v>1</v>
      </c>
      <c r="E20" s="18" t="n">
        <f aca="false">COUNTIFS('Master Requirements Tracker'!$C$9:$C$158,B20,'Master Requirements Tracker'!$F$9:$F$158,"In Progress")</f>
        <v>6</v>
      </c>
      <c r="F20" s="18" t="n">
        <f aca="false">COUNTIFS('Master Requirements Tracker'!$C$9:$C$158,B20,'Master Requirements Tracker'!$F$9:$F$158,"In Review")</f>
        <v>0</v>
      </c>
      <c r="G20" s="18" t="n">
        <f aca="false">COUNTIFS('Master Requirements Tracker'!$C$9:$C$158,B20,'Master Requirements Tracker'!$F$9:$F$158,"Planned")</f>
        <v>0</v>
      </c>
      <c r="H20" s="19" t="n">
        <f aca="false">IF(C20&gt;0,D20/C20,0)</f>
        <v>0.142857142857143</v>
      </c>
    </row>
    <row r="21" customFormat="false" ht="15" hidden="false" customHeight="false" outlineLevel="0" collapsed="false">
      <c r="B21" s="17" t="s">
        <v>349</v>
      </c>
      <c r="C21" s="18" t="n">
        <f aca="false">COUNTIF('Master Requirements Tracker'!$C$9:$C$158,B21)</f>
        <v>4</v>
      </c>
      <c r="D21" s="18" t="n">
        <f aca="false">COUNTIFS('Master Requirements Tracker'!$C$9:$C$158,B21,'Master Requirements Tracker'!$F$9:$F$158,"Completed")</f>
        <v>1</v>
      </c>
      <c r="E21" s="18" t="n">
        <f aca="false">COUNTIFS('Master Requirements Tracker'!$C$9:$C$158,B21,'Master Requirements Tracker'!$F$9:$F$158,"In Progress")</f>
        <v>1</v>
      </c>
      <c r="F21" s="18" t="n">
        <f aca="false">COUNTIFS('Master Requirements Tracker'!$C$9:$C$158,B21,'Master Requirements Tracker'!$F$9:$F$158,"In Review")</f>
        <v>0</v>
      </c>
      <c r="G21" s="18" t="n">
        <f aca="false">COUNTIFS('Master Requirements Tracker'!$C$9:$C$158,B21,'Master Requirements Tracker'!$F$9:$F$158,"Planned")</f>
        <v>2</v>
      </c>
      <c r="H21" s="19" t="n">
        <f aca="false">IF(C21&gt;0,D21/C21,0)</f>
        <v>0.25</v>
      </c>
    </row>
    <row r="22" customFormat="false" ht="15" hidden="false" customHeight="false" outlineLevel="0" collapsed="false">
      <c r="B22" s="17" t="s">
        <v>364</v>
      </c>
      <c r="C22" s="18" t="n">
        <f aca="false">COUNTIF('Master Requirements Tracker'!$C$9:$C$158,B22)</f>
        <v>3</v>
      </c>
      <c r="D22" s="18" t="n">
        <f aca="false">COUNTIFS('Master Requirements Tracker'!$C$9:$C$158,B22,'Master Requirements Tracker'!$F$9:$F$158,"Completed")</f>
        <v>2</v>
      </c>
      <c r="E22" s="18" t="n">
        <f aca="false">COUNTIFS('Master Requirements Tracker'!$C$9:$C$158,B22,'Master Requirements Tracker'!$F$9:$F$158,"In Progress")</f>
        <v>0</v>
      </c>
      <c r="F22" s="18" t="n">
        <f aca="false">COUNTIFS('Master Requirements Tracker'!$C$9:$C$158,B22,'Master Requirements Tracker'!$F$9:$F$158,"In Review")</f>
        <v>0</v>
      </c>
      <c r="G22" s="18" t="n">
        <f aca="false">COUNTIFS('Master Requirements Tracker'!$C$9:$C$158,B22,'Master Requirements Tracker'!$F$9:$F$158,"Planned")</f>
        <v>1</v>
      </c>
      <c r="H22" s="19" t="n">
        <f aca="false">IF(C22&gt;0,D22/C22,0)</f>
        <v>0.666666666666667</v>
      </c>
    </row>
    <row r="23" customFormat="false" ht="15" hidden="false" customHeight="false" outlineLevel="0" collapsed="false">
      <c r="B23" s="17" t="s">
        <v>372</v>
      </c>
      <c r="C23" s="18" t="n">
        <f aca="false">COUNTIF('Master Requirements Tracker'!$C$9:$C$158,B23)</f>
        <v>3</v>
      </c>
      <c r="D23" s="18" t="n">
        <f aca="false">COUNTIFS('Master Requirements Tracker'!$C$9:$C$158,B23,'Master Requirements Tracker'!$F$9:$F$158,"Completed")</f>
        <v>1</v>
      </c>
      <c r="E23" s="18" t="n">
        <f aca="false">COUNTIFS('Master Requirements Tracker'!$C$9:$C$158,B23,'Master Requirements Tracker'!$F$9:$F$158,"In Progress")</f>
        <v>1</v>
      </c>
      <c r="F23" s="18" t="n">
        <f aca="false">COUNTIFS('Master Requirements Tracker'!$C$9:$C$158,B23,'Master Requirements Tracker'!$F$9:$F$158,"In Review")</f>
        <v>1</v>
      </c>
      <c r="G23" s="18" t="n">
        <f aca="false">COUNTIFS('Master Requirements Tracker'!$C$9:$C$158,B23,'Master Requirements Tracker'!$F$9:$F$158,"Planned")</f>
        <v>0</v>
      </c>
      <c r="H23" s="19" t="n">
        <f aca="false">IF(C23&gt;0,D23/C23,0)</f>
        <v>0.333333333333333</v>
      </c>
    </row>
    <row r="24" customFormat="false" ht="15" hidden="false" customHeight="false" outlineLevel="0" collapsed="false">
      <c r="B24" s="17" t="s">
        <v>383</v>
      </c>
      <c r="C24" s="18" t="n">
        <f aca="false">COUNTIF('Master Requirements Tracker'!$C$9:$C$158,B24)</f>
        <v>2</v>
      </c>
      <c r="D24" s="18" t="n">
        <f aca="false">COUNTIFS('Master Requirements Tracker'!$C$9:$C$158,B24,'Master Requirements Tracker'!$F$9:$F$158,"Completed")</f>
        <v>1</v>
      </c>
      <c r="E24" s="18" t="n">
        <f aca="false">COUNTIFS('Master Requirements Tracker'!$C$9:$C$158,B24,'Master Requirements Tracker'!$F$9:$F$158,"In Progress")</f>
        <v>1</v>
      </c>
      <c r="F24" s="18" t="n">
        <f aca="false">COUNTIFS('Master Requirements Tracker'!$C$9:$C$158,B24,'Master Requirements Tracker'!$F$9:$F$158,"In Review")</f>
        <v>0</v>
      </c>
      <c r="G24" s="18" t="n">
        <f aca="false">COUNTIFS('Master Requirements Tracker'!$C$9:$C$158,B24,'Master Requirements Tracker'!$F$9:$F$158,"Planned")</f>
        <v>0</v>
      </c>
      <c r="H24" s="19" t="n">
        <f aca="false">IF(C24&gt;0,D24/C24,0)</f>
        <v>0.5</v>
      </c>
    </row>
    <row r="25" customFormat="false" ht="15" hidden="false" customHeight="false" outlineLevel="0" collapsed="false">
      <c r="B25" s="17" t="s">
        <v>392</v>
      </c>
      <c r="C25" s="18" t="n">
        <f aca="false">COUNTIF('Master Requirements Tracker'!$C$9:$C$158,B25)</f>
        <v>1</v>
      </c>
      <c r="D25" s="18" t="n">
        <f aca="false">COUNTIFS('Master Requirements Tracker'!$C$9:$C$158,B25,'Master Requirements Tracker'!$F$9:$F$158,"Completed")</f>
        <v>1</v>
      </c>
      <c r="E25" s="18" t="n">
        <f aca="false">COUNTIFS('Master Requirements Tracker'!$C$9:$C$158,B25,'Master Requirements Tracker'!$F$9:$F$158,"In Progress")</f>
        <v>0</v>
      </c>
      <c r="F25" s="18" t="n">
        <f aca="false">COUNTIFS('Master Requirements Tracker'!$C$9:$C$158,B25,'Master Requirements Tracker'!$F$9:$F$158,"In Review")</f>
        <v>0</v>
      </c>
      <c r="G25" s="18" t="n">
        <f aca="false">COUNTIFS('Master Requirements Tracker'!$C$9:$C$158,B25,'Master Requirements Tracker'!$F$9:$F$158,"Planned")</f>
        <v>0</v>
      </c>
      <c r="H25" s="19" t="n">
        <f aca="false">IF(C25&gt;0,D25/C25,0)</f>
        <v>1</v>
      </c>
    </row>
    <row r="26" customFormat="false" ht="15" hidden="false" customHeight="false" outlineLevel="0" collapsed="false">
      <c r="B26" s="17" t="s">
        <v>397</v>
      </c>
      <c r="C26" s="18" t="n">
        <f aca="false">COUNTIF('Master Requirements Tracker'!$C$9:$C$158,B26)</f>
        <v>2</v>
      </c>
      <c r="D26" s="18" t="n">
        <f aca="false">COUNTIFS('Master Requirements Tracker'!$C$9:$C$158,B26,'Master Requirements Tracker'!$F$9:$F$158,"Completed")</f>
        <v>1</v>
      </c>
      <c r="E26" s="18" t="n">
        <f aca="false">COUNTIFS('Master Requirements Tracker'!$C$9:$C$158,B26,'Master Requirements Tracker'!$F$9:$F$158,"In Progress")</f>
        <v>1</v>
      </c>
      <c r="F26" s="18" t="n">
        <f aca="false">COUNTIFS('Master Requirements Tracker'!$C$9:$C$158,B26,'Master Requirements Tracker'!$F$9:$F$158,"In Review")</f>
        <v>0</v>
      </c>
      <c r="G26" s="18" t="n">
        <f aca="false">COUNTIFS('Master Requirements Tracker'!$C$9:$C$158,B26,'Master Requirements Tracker'!$F$9:$F$158,"Planned")</f>
        <v>0</v>
      </c>
      <c r="H26" s="19" t="n">
        <f aca="false">IF(C26&gt;0,D26/C26,0)</f>
        <v>0.5</v>
      </c>
    </row>
    <row r="27" customFormat="false" ht="15" hidden="false" customHeight="false" outlineLevel="0" collapsed="false">
      <c r="B27" s="17" t="s">
        <v>405</v>
      </c>
      <c r="C27" s="18" t="n">
        <f aca="false">COUNTIF('Master Requirements Tracker'!$C$9:$C$158,B27)</f>
        <v>4</v>
      </c>
      <c r="D27" s="18" t="n">
        <f aca="false">COUNTIFS('Master Requirements Tracker'!$C$9:$C$158,B27,'Master Requirements Tracker'!$F$9:$F$158,"Completed")</f>
        <v>0</v>
      </c>
      <c r="E27" s="18" t="n">
        <f aca="false">COUNTIFS('Master Requirements Tracker'!$C$9:$C$158,B27,'Master Requirements Tracker'!$F$9:$F$158,"In Progress")</f>
        <v>2</v>
      </c>
      <c r="F27" s="18" t="n">
        <f aca="false">COUNTIFS('Master Requirements Tracker'!$C$9:$C$158,B27,'Master Requirements Tracker'!$F$9:$F$158,"In Review")</f>
        <v>0</v>
      </c>
      <c r="G27" s="18" t="n">
        <f aca="false">COUNTIFS('Master Requirements Tracker'!$C$9:$C$158,B27,'Master Requirements Tracker'!$F$9:$F$158,"Planned")</f>
        <v>2</v>
      </c>
      <c r="H27" s="19" t="n">
        <f aca="false">IF(C27&gt;0,D27/C27,0)</f>
        <v>0</v>
      </c>
    </row>
    <row r="28" customFormat="false" ht="15" hidden="false" customHeight="false" outlineLevel="0" collapsed="false">
      <c r="B28" s="17" t="s">
        <v>419</v>
      </c>
      <c r="C28" s="18" t="n">
        <f aca="false">COUNTIF('Master Requirements Tracker'!$C$9:$C$158,B28)</f>
        <v>5</v>
      </c>
      <c r="D28" s="18" t="n">
        <f aca="false">COUNTIFS('Master Requirements Tracker'!$C$9:$C$158,B28,'Master Requirements Tracker'!$F$9:$F$158,"Completed")</f>
        <v>3</v>
      </c>
      <c r="E28" s="18" t="n">
        <f aca="false">COUNTIFS('Master Requirements Tracker'!$C$9:$C$158,B28,'Master Requirements Tracker'!$F$9:$F$158,"In Progress")</f>
        <v>1</v>
      </c>
      <c r="F28" s="18" t="n">
        <f aca="false">COUNTIFS('Master Requirements Tracker'!$C$9:$C$158,B28,'Master Requirements Tracker'!$F$9:$F$158,"In Review")</f>
        <v>0</v>
      </c>
      <c r="G28" s="18" t="n">
        <f aca="false">COUNTIFS('Master Requirements Tracker'!$C$9:$C$158,B28,'Master Requirements Tracker'!$F$9:$F$158,"Planned")</f>
        <v>1</v>
      </c>
      <c r="H28" s="19" t="n">
        <f aca="false">IF(C28&gt;0,D28/C28,0)</f>
        <v>0.6</v>
      </c>
    </row>
    <row r="29" customFormat="false" ht="15" hidden="false" customHeight="false" outlineLevel="0" collapsed="false">
      <c r="B29" s="17" t="s">
        <v>437</v>
      </c>
      <c r="C29" s="18" t="n">
        <f aca="false">COUNTIF('Master Requirements Tracker'!$C$9:$C$158,B29)</f>
        <v>3</v>
      </c>
      <c r="D29" s="18" t="n">
        <f aca="false">COUNTIFS('Master Requirements Tracker'!$C$9:$C$158,B29,'Master Requirements Tracker'!$F$9:$F$158,"Completed")</f>
        <v>1</v>
      </c>
      <c r="E29" s="18" t="n">
        <f aca="false">COUNTIFS('Master Requirements Tracker'!$C$9:$C$158,B29,'Master Requirements Tracker'!$F$9:$F$158,"In Progress")</f>
        <v>2</v>
      </c>
      <c r="F29" s="18" t="n">
        <f aca="false">COUNTIFS('Master Requirements Tracker'!$C$9:$C$158,B29,'Master Requirements Tracker'!$F$9:$F$158,"In Review")</f>
        <v>0</v>
      </c>
      <c r="G29" s="18" t="n">
        <f aca="false">COUNTIFS('Master Requirements Tracker'!$C$9:$C$158,B29,'Master Requirements Tracker'!$F$9:$F$158,"Planned")</f>
        <v>0</v>
      </c>
      <c r="H29" s="19" t="n">
        <f aca="false">IF(C29&gt;0,D29/C29,0)</f>
        <v>0.333333333333333</v>
      </c>
    </row>
    <row r="30" customFormat="false" ht="15" hidden="false" customHeight="false" outlineLevel="0" collapsed="false">
      <c r="B30" s="17" t="s">
        <v>450</v>
      </c>
      <c r="C30" s="18" t="n">
        <f aca="false">COUNTIF('Master Requirements Tracker'!$C$9:$C$158,B30)</f>
        <v>6</v>
      </c>
      <c r="D30" s="18" t="n">
        <f aca="false">COUNTIFS('Master Requirements Tracker'!$C$9:$C$158,B30,'Master Requirements Tracker'!$F$9:$F$158,"Completed")</f>
        <v>4</v>
      </c>
      <c r="E30" s="18" t="n">
        <f aca="false">COUNTIFS('Master Requirements Tracker'!$C$9:$C$158,B30,'Master Requirements Tracker'!$F$9:$F$158,"In Progress")</f>
        <v>2</v>
      </c>
      <c r="F30" s="18" t="n">
        <f aca="false">COUNTIFS('Master Requirements Tracker'!$C$9:$C$158,B30,'Master Requirements Tracker'!$F$9:$F$158,"In Review")</f>
        <v>0</v>
      </c>
      <c r="G30" s="18" t="n">
        <f aca="false">COUNTIFS('Master Requirements Tracker'!$C$9:$C$158,B30,'Master Requirements Tracker'!$F$9:$F$158,"Planned")</f>
        <v>0</v>
      </c>
      <c r="H30" s="19" t="n">
        <f aca="false">IF(C30&gt;0,D30/C30,0)</f>
        <v>0.666666666666667</v>
      </c>
    </row>
    <row r="31" customFormat="false" ht="15" hidden="false" customHeight="false" outlineLevel="0" collapsed="false">
      <c r="B31" s="17" t="s">
        <v>473</v>
      </c>
      <c r="C31" s="18" t="n">
        <f aca="false">COUNTIF('Master Requirements Tracker'!$C$9:$C$158,B31)</f>
        <v>1</v>
      </c>
      <c r="D31" s="18" t="n">
        <f aca="false">COUNTIFS('Master Requirements Tracker'!$C$9:$C$158,B31,'Master Requirements Tracker'!$F$9:$F$158,"Completed")</f>
        <v>1</v>
      </c>
      <c r="E31" s="18" t="n">
        <f aca="false">COUNTIFS('Master Requirements Tracker'!$C$9:$C$158,B31,'Master Requirements Tracker'!$F$9:$F$158,"In Progress")</f>
        <v>0</v>
      </c>
      <c r="F31" s="18" t="n">
        <f aca="false">COUNTIFS('Master Requirements Tracker'!$C$9:$C$158,B31,'Master Requirements Tracker'!$F$9:$F$158,"In Review")</f>
        <v>0</v>
      </c>
      <c r="G31" s="18" t="n">
        <f aca="false">COUNTIFS('Master Requirements Tracker'!$C$9:$C$158,B31,'Master Requirements Tracker'!$F$9:$F$158,"Planned")</f>
        <v>0</v>
      </c>
      <c r="H31" s="19" t="n">
        <f aca="false">IF(C31&gt;0,D31/C31,0)</f>
        <v>1</v>
      </c>
    </row>
    <row r="32" customFormat="false" ht="15" hidden="false" customHeight="false" outlineLevel="0" collapsed="false">
      <c r="B32" s="17" t="s">
        <v>476</v>
      </c>
      <c r="C32" s="18" t="n">
        <f aca="false">COUNTIF('Master Requirements Tracker'!$C$9:$C$158,B32)</f>
        <v>7</v>
      </c>
      <c r="D32" s="18" t="n">
        <f aca="false">COUNTIFS('Master Requirements Tracker'!$C$9:$C$158,B32,'Master Requirements Tracker'!$F$9:$F$158,"Completed")</f>
        <v>1</v>
      </c>
      <c r="E32" s="18" t="n">
        <f aca="false">COUNTIFS('Master Requirements Tracker'!$C$9:$C$158,B32,'Master Requirements Tracker'!$F$9:$F$158,"In Progress")</f>
        <v>4</v>
      </c>
      <c r="F32" s="18" t="n">
        <f aca="false">COUNTIFS('Master Requirements Tracker'!$C$9:$C$158,B32,'Master Requirements Tracker'!$F$9:$F$158,"In Review")</f>
        <v>0</v>
      </c>
      <c r="G32" s="18" t="n">
        <f aca="false">COUNTIFS('Master Requirements Tracker'!$C$9:$C$158,B32,'Master Requirements Tracker'!$F$9:$F$158,"Planned")</f>
        <v>2</v>
      </c>
      <c r="H32" s="19" t="n">
        <f aca="false">IF(C32&gt;0,D32/C32,0)</f>
        <v>0.142857142857143</v>
      </c>
    </row>
    <row r="33" customFormat="false" ht="15" hidden="false" customHeight="false" outlineLevel="0" collapsed="false">
      <c r="B33" s="17" t="s">
        <v>504</v>
      </c>
      <c r="C33" s="18" t="n">
        <f aca="false">COUNTIF('Master Requirements Tracker'!$C$9:$C$158,B33)</f>
        <v>4</v>
      </c>
      <c r="D33" s="18" t="n">
        <f aca="false">COUNTIFS('Master Requirements Tracker'!$C$9:$C$158,B33,'Master Requirements Tracker'!$F$9:$F$158,"Completed")</f>
        <v>2</v>
      </c>
      <c r="E33" s="18" t="n">
        <f aca="false">COUNTIFS('Master Requirements Tracker'!$C$9:$C$158,B33,'Master Requirements Tracker'!$F$9:$F$158,"In Progress")</f>
        <v>1</v>
      </c>
      <c r="F33" s="18" t="n">
        <f aca="false">COUNTIFS('Master Requirements Tracker'!$C$9:$C$158,B33,'Master Requirements Tracker'!$F$9:$F$158,"In Review")</f>
        <v>0</v>
      </c>
      <c r="G33" s="18" t="n">
        <f aca="false">COUNTIFS('Master Requirements Tracker'!$C$9:$C$158,B33,'Master Requirements Tracker'!$F$9:$F$158,"Planned")</f>
        <v>1</v>
      </c>
      <c r="H33" s="19" t="n">
        <f aca="false">IF(C33&gt;0,D33/C33,0)</f>
        <v>0.5</v>
      </c>
    </row>
    <row r="34" customFormat="false" ht="15" hidden="false" customHeight="false" outlineLevel="0" collapsed="false">
      <c r="B34" s="17" t="s">
        <v>517</v>
      </c>
      <c r="C34" s="18" t="n">
        <f aca="false">COUNTIF('Master Requirements Tracker'!$C$9:$C$158,B34)</f>
        <v>3</v>
      </c>
      <c r="D34" s="18" t="n">
        <f aca="false">COUNTIFS('Master Requirements Tracker'!$C$9:$C$158,B34,'Master Requirements Tracker'!$F$9:$F$158,"Completed")</f>
        <v>0</v>
      </c>
      <c r="E34" s="18" t="n">
        <f aca="false">COUNTIFS('Master Requirements Tracker'!$C$9:$C$158,B34,'Master Requirements Tracker'!$F$9:$F$158,"In Progress")</f>
        <v>3</v>
      </c>
      <c r="F34" s="18" t="n">
        <f aca="false">COUNTIFS('Master Requirements Tracker'!$C$9:$C$158,B34,'Master Requirements Tracker'!$F$9:$F$158,"In Review")</f>
        <v>0</v>
      </c>
      <c r="G34" s="18" t="n">
        <f aca="false">COUNTIFS('Master Requirements Tracker'!$C$9:$C$158,B34,'Master Requirements Tracker'!$F$9:$F$158,"Planned")</f>
        <v>0</v>
      </c>
      <c r="H34" s="19" t="n">
        <f aca="false">IF(C34&gt;0,D34/C34,0)</f>
        <v>0</v>
      </c>
    </row>
    <row r="35" customFormat="false" ht="15" hidden="false" customHeight="false" outlineLevel="0" collapsed="false">
      <c r="B35" s="17" t="s">
        <v>532</v>
      </c>
      <c r="C35" s="18" t="n">
        <f aca="false">COUNTIF('Master Requirements Tracker'!$C$9:$C$158,B35)</f>
        <v>3</v>
      </c>
      <c r="D35" s="18" t="n">
        <f aca="false">COUNTIFS('Master Requirements Tracker'!$C$9:$C$158,B35,'Master Requirements Tracker'!$F$9:$F$158,"Completed")</f>
        <v>0</v>
      </c>
      <c r="E35" s="18" t="n">
        <f aca="false">COUNTIFS('Master Requirements Tracker'!$C$9:$C$158,B35,'Master Requirements Tracker'!$F$9:$F$158,"In Progress")</f>
        <v>3</v>
      </c>
      <c r="F35" s="18" t="n">
        <f aca="false">COUNTIFS('Master Requirements Tracker'!$C$9:$C$158,B35,'Master Requirements Tracker'!$F$9:$F$158,"In Review")</f>
        <v>0</v>
      </c>
      <c r="G35" s="18" t="n">
        <f aca="false">COUNTIFS('Master Requirements Tracker'!$C$9:$C$158,B35,'Master Requirements Tracker'!$F$9:$F$158,"Planned")</f>
        <v>0</v>
      </c>
      <c r="H35" s="19" t="n">
        <f aca="false">IF(C35&gt;0,D35/C35,0)</f>
        <v>0</v>
      </c>
    </row>
    <row r="36" customFormat="false" ht="15" hidden="false" customHeight="false" outlineLevel="0" collapsed="false">
      <c r="B36" s="17" t="s">
        <v>545</v>
      </c>
      <c r="C36" s="18" t="n">
        <f aca="false">COUNTIF('Master Requirements Tracker'!$C$9:$C$158,B36)</f>
        <v>1</v>
      </c>
      <c r="D36" s="18" t="n">
        <f aca="false">COUNTIFS('Master Requirements Tracker'!$C$9:$C$158,B36,'Master Requirements Tracker'!$F$9:$F$158,"Completed")</f>
        <v>1</v>
      </c>
      <c r="E36" s="18" t="n">
        <f aca="false">COUNTIFS('Master Requirements Tracker'!$C$9:$C$158,B36,'Master Requirements Tracker'!$F$9:$F$158,"In Progress")</f>
        <v>0</v>
      </c>
      <c r="F36" s="18" t="n">
        <f aca="false">COUNTIFS('Master Requirements Tracker'!$C$9:$C$158,B36,'Master Requirements Tracker'!$F$9:$F$158,"In Review")</f>
        <v>0</v>
      </c>
      <c r="G36" s="18" t="n">
        <f aca="false">COUNTIFS('Master Requirements Tracker'!$C$9:$C$158,B36,'Master Requirements Tracker'!$F$9:$F$158,"Planned")</f>
        <v>0</v>
      </c>
      <c r="H36" s="19" t="n">
        <f aca="false">IF(C36&gt;0,D36/C36,0)</f>
        <v>1</v>
      </c>
    </row>
    <row r="37" customFormat="false" ht="15" hidden="false" customHeight="false" outlineLevel="0" collapsed="false">
      <c r="B37" s="17" t="s">
        <v>548</v>
      </c>
      <c r="C37" s="18" t="n">
        <f aca="false">COUNTIF('Master Requirements Tracker'!$C$9:$C$158,B37)</f>
        <v>2</v>
      </c>
      <c r="D37" s="18" t="n">
        <f aca="false">COUNTIFS('Master Requirements Tracker'!$C$9:$C$158,B37,'Master Requirements Tracker'!$F$9:$F$158,"Completed")</f>
        <v>0</v>
      </c>
      <c r="E37" s="18" t="n">
        <f aca="false">COUNTIFS('Master Requirements Tracker'!$C$9:$C$158,B37,'Master Requirements Tracker'!$F$9:$F$158,"In Progress")</f>
        <v>1</v>
      </c>
      <c r="F37" s="18" t="n">
        <f aca="false">COUNTIFS('Master Requirements Tracker'!$C$9:$C$158,B37,'Master Requirements Tracker'!$F$9:$F$158,"In Review")</f>
        <v>0</v>
      </c>
      <c r="G37" s="18" t="n">
        <f aca="false">COUNTIFS('Master Requirements Tracker'!$C$9:$C$158,B37,'Master Requirements Tracker'!$F$9:$F$158,"Planned")</f>
        <v>1</v>
      </c>
      <c r="H37" s="19" t="n">
        <f aca="false">IF(C37&gt;0,D37/C37,0)</f>
        <v>0</v>
      </c>
    </row>
    <row r="38" customFormat="false" ht="15" hidden="false" customHeight="false" outlineLevel="0" collapsed="false">
      <c r="B38" s="17" t="s">
        <v>557</v>
      </c>
      <c r="C38" s="18" t="n">
        <f aca="false">COUNTIF('Master Requirements Tracker'!$C$9:$C$158,B38)</f>
        <v>1</v>
      </c>
      <c r="D38" s="18" t="n">
        <f aca="false">COUNTIFS('Master Requirements Tracker'!$C$9:$C$158,B38,'Master Requirements Tracker'!$F$9:$F$158,"Completed")</f>
        <v>0</v>
      </c>
      <c r="E38" s="18" t="n">
        <f aca="false">COUNTIFS('Master Requirements Tracker'!$C$9:$C$158,B38,'Master Requirements Tracker'!$F$9:$F$158,"In Progress")</f>
        <v>1</v>
      </c>
      <c r="F38" s="18" t="n">
        <f aca="false">COUNTIFS('Master Requirements Tracker'!$C$9:$C$158,B38,'Master Requirements Tracker'!$F$9:$F$158,"In Review")</f>
        <v>0</v>
      </c>
      <c r="G38" s="18" t="n">
        <f aca="false">COUNTIFS('Master Requirements Tracker'!$C$9:$C$158,B38,'Master Requirements Tracker'!$F$9:$F$158,"Planned")</f>
        <v>0</v>
      </c>
      <c r="H38" s="19" t="n">
        <f aca="false">IF(C38&gt;0,D38/C38,0)</f>
        <v>0</v>
      </c>
    </row>
    <row r="39" customFormat="false" ht="15" hidden="false" customHeight="false" outlineLevel="0" collapsed="false">
      <c r="B39" s="17" t="s">
        <v>565</v>
      </c>
      <c r="C39" s="18" t="n">
        <f aca="false">COUNTIF('Master Requirements Tracker'!$C$9:$C$158,B39)</f>
        <v>4</v>
      </c>
      <c r="D39" s="18" t="n">
        <f aca="false">COUNTIFS('Master Requirements Tracker'!$C$9:$C$158,B39,'Master Requirements Tracker'!$F$9:$F$158,"Completed")</f>
        <v>2</v>
      </c>
      <c r="E39" s="18" t="n">
        <f aca="false">COUNTIFS('Master Requirements Tracker'!$C$9:$C$158,B39,'Master Requirements Tracker'!$F$9:$F$158,"In Progress")</f>
        <v>1</v>
      </c>
      <c r="F39" s="18" t="n">
        <f aca="false">COUNTIFS('Master Requirements Tracker'!$C$9:$C$158,B39,'Master Requirements Tracker'!$F$9:$F$158,"In Review")</f>
        <v>0</v>
      </c>
      <c r="G39" s="18" t="n">
        <f aca="false">COUNTIFS('Master Requirements Tracker'!$C$9:$C$158,B39,'Master Requirements Tracker'!$F$9:$F$158,"Planned")</f>
        <v>1</v>
      </c>
      <c r="H39" s="19" t="n">
        <f aca="false">IF(C39&gt;0,D39/C39,0)</f>
        <v>0.5</v>
      </c>
    </row>
    <row r="40" customFormat="false" ht="15" hidden="false" customHeight="false" outlineLevel="0" collapsed="false">
      <c r="B40" s="17" t="s">
        <v>579</v>
      </c>
      <c r="C40" s="18" t="n">
        <f aca="false">COUNTIF('Master Requirements Tracker'!$C$9:$C$158,B40)</f>
        <v>2</v>
      </c>
      <c r="D40" s="18" t="n">
        <f aca="false">COUNTIFS('Master Requirements Tracker'!$C$9:$C$158,B40,'Master Requirements Tracker'!$F$9:$F$158,"Completed")</f>
        <v>0</v>
      </c>
      <c r="E40" s="18" t="n">
        <f aca="false">COUNTIFS('Master Requirements Tracker'!$C$9:$C$158,B40,'Master Requirements Tracker'!$F$9:$F$158,"In Progress")</f>
        <v>2</v>
      </c>
      <c r="F40" s="18" t="n">
        <f aca="false">COUNTIFS('Master Requirements Tracker'!$C$9:$C$158,B40,'Master Requirements Tracker'!$F$9:$F$158,"In Review")</f>
        <v>0</v>
      </c>
      <c r="G40" s="18" t="n">
        <f aca="false">COUNTIFS('Master Requirements Tracker'!$C$9:$C$158,B40,'Master Requirements Tracker'!$F$9:$F$158,"Planned")</f>
        <v>0</v>
      </c>
      <c r="H40" s="19" t="n">
        <f aca="false">IF(C40&gt;0,D40/C40,0)</f>
        <v>0</v>
      </c>
    </row>
    <row r="41" customFormat="false" ht="15" hidden="false" customHeight="false" outlineLevel="0" collapsed="false">
      <c r="B41" s="17" t="s">
        <v>591</v>
      </c>
      <c r="C41" s="18" t="n">
        <f aca="false">COUNTIF('Master Requirements Tracker'!$C$9:$C$158,B41)</f>
        <v>1</v>
      </c>
      <c r="D41" s="18" t="n">
        <f aca="false">COUNTIFS('Master Requirements Tracker'!$C$9:$C$158,B41,'Master Requirements Tracker'!$F$9:$F$158,"Completed")</f>
        <v>1</v>
      </c>
      <c r="E41" s="18" t="n">
        <f aca="false">COUNTIFS('Master Requirements Tracker'!$C$9:$C$158,B41,'Master Requirements Tracker'!$F$9:$F$158,"In Progress")</f>
        <v>0</v>
      </c>
      <c r="F41" s="18" t="n">
        <f aca="false">COUNTIFS('Master Requirements Tracker'!$C$9:$C$158,B41,'Master Requirements Tracker'!$F$9:$F$158,"In Review")</f>
        <v>0</v>
      </c>
      <c r="G41" s="18" t="n">
        <f aca="false">COUNTIFS('Master Requirements Tracker'!$C$9:$C$158,B41,'Master Requirements Tracker'!$F$9:$F$158,"Planned")</f>
        <v>0</v>
      </c>
      <c r="H41" s="19" t="n">
        <f aca="false">IF(C41&gt;0,D41/C41,0)</f>
        <v>1</v>
      </c>
    </row>
    <row r="42" customFormat="false" ht="15" hidden="false" customHeight="false" outlineLevel="0" collapsed="false">
      <c r="B42" s="17" t="s">
        <v>596</v>
      </c>
      <c r="C42" s="18" t="n">
        <f aca="false">COUNTIF('Master Requirements Tracker'!$C$9:$C$158,B42)</f>
        <v>1</v>
      </c>
      <c r="D42" s="18" t="n">
        <f aca="false">COUNTIFS('Master Requirements Tracker'!$C$9:$C$158,B42,'Master Requirements Tracker'!$F$9:$F$158,"Completed")</f>
        <v>1</v>
      </c>
      <c r="E42" s="18" t="n">
        <f aca="false">COUNTIFS('Master Requirements Tracker'!$C$9:$C$158,B42,'Master Requirements Tracker'!$F$9:$F$158,"In Progress")</f>
        <v>0</v>
      </c>
      <c r="F42" s="18" t="n">
        <f aca="false">COUNTIFS('Master Requirements Tracker'!$C$9:$C$158,B42,'Master Requirements Tracker'!$F$9:$F$158,"In Review")</f>
        <v>0</v>
      </c>
      <c r="G42" s="18" t="n">
        <f aca="false">COUNTIFS('Master Requirements Tracker'!$C$9:$C$158,B42,'Master Requirements Tracker'!$F$9:$F$158,"Planned")</f>
        <v>0</v>
      </c>
      <c r="H42" s="19" t="n">
        <f aca="false">IF(C42&gt;0,D42/C42,0)</f>
        <v>1</v>
      </c>
    </row>
    <row r="43" customFormat="false" ht="15" hidden="false" customHeight="false" outlineLevel="0" collapsed="false">
      <c r="B43" s="17" t="s">
        <v>600</v>
      </c>
      <c r="C43" s="18" t="n">
        <f aca="false">COUNTIF('Master Requirements Tracker'!$C$9:$C$158,B43)</f>
        <v>2</v>
      </c>
      <c r="D43" s="18" t="n">
        <f aca="false">COUNTIFS('Master Requirements Tracker'!$C$9:$C$158,B43,'Master Requirements Tracker'!$F$9:$F$158,"Completed")</f>
        <v>0</v>
      </c>
      <c r="E43" s="18" t="n">
        <f aca="false">COUNTIFS('Master Requirements Tracker'!$C$9:$C$158,B43,'Master Requirements Tracker'!$F$9:$F$158,"In Progress")</f>
        <v>2</v>
      </c>
      <c r="F43" s="18" t="n">
        <f aca="false">COUNTIFS('Master Requirements Tracker'!$C$9:$C$158,B43,'Master Requirements Tracker'!$F$9:$F$158,"In Review")</f>
        <v>0</v>
      </c>
      <c r="G43" s="18" t="n">
        <f aca="false">COUNTIFS('Master Requirements Tracker'!$C$9:$C$158,B43,'Master Requirements Tracker'!$F$9:$F$158,"Planned")</f>
        <v>0</v>
      </c>
      <c r="H43" s="19" t="n">
        <f aca="false">IF(C43&gt;0,D43/C43,0)</f>
        <v>0</v>
      </c>
    </row>
    <row r="44" customFormat="false" ht="15" hidden="false" customHeight="false" outlineLevel="0" collapsed="false">
      <c r="B44" s="17" t="s">
        <v>612</v>
      </c>
      <c r="C44" s="18" t="n">
        <f aca="false">COUNTIF('Master Requirements Tracker'!$C$9:$C$158,B44)</f>
        <v>1</v>
      </c>
      <c r="D44" s="18" t="n">
        <f aca="false">COUNTIFS('Master Requirements Tracker'!$C$9:$C$158,B44,'Master Requirements Tracker'!$F$9:$F$158,"Completed")</f>
        <v>0</v>
      </c>
      <c r="E44" s="18" t="n">
        <f aca="false">COUNTIFS('Master Requirements Tracker'!$C$9:$C$158,B44,'Master Requirements Tracker'!$F$9:$F$158,"In Progress")</f>
        <v>1</v>
      </c>
      <c r="F44" s="18" t="n">
        <f aca="false">COUNTIFS('Master Requirements Tracker'!$C$9:$C$158,B44,'Master Requirements Tracker'!$F$9:$F$158,"In Review")</f>
        <v>0</v>
      </c>
      <c r="G44" s="18" t="n">
        <f aca="false">COUNTIFS('Master Requirements Tracker'!$C$9:$C$158,B44,'Master Requirements Tracker'!$F$9:$F$158,"Planned")</f>
        <v>0</v>
      </c>
      <c r="H44" s="19" t="n">
        <f aca="false">IF(C44&gt;0,D44/C44,0)</f>
        <v>0</v>
      </c>
    </row>
    <row r="45" customFormat="false" ht="15" hidden="false" customHeight="false" outlineLevel="0" collapsed="false">
      <c r="B45" s="17" t="s">
        <v>616</v>
      </c>
      <c r="C45" s="18" t="n">
        <f aca="false">COUNTIF('Master Requirements Tracker'!$C$9:$C$158,B45)</f>
        <v>1</v>
      </c>
      <c r="D45" s="18" t="n">
        <f aca="false">COUNTIFS('Master Requirements Tracker'!$C$9:$C$158,B45,'Master Requirements Tracker'!$F$9:$F$158,"Completed")</f>
        <v>1</v>
      </c>
      <c r="E45" s="18" t="n">
        <f aca="false">COUNTIFS('Master Requirements Tracker'!$C$9:$C$158,B45,'Master Requirements Tracker'!$F$9:$F$158,"In Progress")</f>
        <v>0</v>
      </c>
      <c r="F45" s="18" t="n">
        <f aca="false">COUNTIFS('Master Requirements Tracker'!$C$9:$C$158,B45,'Master Requirements Tracker'!$F$9:$F$158,"In Review")</f>
        <v>0</v>
      </c>
      <c r="G45" s="18" t="n">
        <f aca="false">COUNTIFS('Master Requirements Tracker'!$C$9:$C$158,B45,'Master Requirements Tracker'!$F$9:$F$158,"Planned")</f>
        <v>0</v>
      </c>
      <c r="H45" s="19" t="n">
        <f aca="false">IF(C45&gt;0,D45/C45,0)</f>
        <v>1</v>
      </c>
    </row>
    <row r="46" customFormat="false" ht="15" hidden="false" customHeight="false" outlineLevel="0" collapsed="false">
      <c r="B46" s="17" t="s">
        <v>621</v>
      </c>
      <c r="C46" s="18" t="n">
        <f aca="false">COUNTIF('Master Requirements Tracker'!$C$9:$C$158,B46)</f>
        <v>1</v>
      </c>
      <c r="D46" s="18" t="n">
        <f aca="false">COUNTIFS('Master Requirements Tracker'!$C$9:$C$158,B46,'Master Requirements Tracker'!$F$9:$F$158,"Completed")</f>
        <v>0</v>
      </c>
      <c r="E46" s="18" t="n">
        <f aca="false">COUNTIFS('Master Requirements Tracker'!$C$9:$C$158,B46,'Master Requirements Tracker'!$F$9:$F$158,"In Progress")</f>
        <v>1</v>
      </c>
      <c r="F46" s="18" t="n">
        <f aca="false">COUNTIFS('Master Requirements Tracker'!$C$9:$C$158,B46,'Master Requirements Tracker'!$F$9:$F$158,"In Review")</f>
        <v>0</v>
      </c>
      <c r="G46" s="18" t="n">
        <f aca="false">COUNTIFS('Master Requirements Tracker'!$C$9:$C$158,B46,'Master Requirements Tracker'!$F$9:$F$158,"Planned")</f>
        <v>0</v>
      </c>
      <c r="H46" s="19" t="n">
        <f aca="false">IF(C46&gt;0,D46/C46,0)</f>
        <v>0</v>
      </c>
    </row>
    <row r="47" customFormat="false" ht="15" hidden="false" customHeight="false" outlineLevel="0" collapsed="false">
      <c r="B47" s="17" t="s">
        <v>627</v>
      </c>
      <c r="C47" s="18" t="n">
        <f aca="false">COUNTIF('Master Requirements Tracker'!$C$9:$C$158,B47)</f>
        <v>1</v>
      </c>
      <c r="D47" s="18" t="n">
        <f aca="false">COUNTIFS('Master Requirements Tracker'!$C$9:$C$158,B47,'Master Requirements Tracker'!$F$9:$F$158,"Completed")</f>
        <v>1</v>
      </c>
      <c r="E47" s="18" t="n">
        <f aca="false">COUNTIFS('Master Requirements Tracker'!$C$9:$C$158,B47,'Master Requirements Tracker'!$F$9:$F$158,"In Progress")</f>
        <v>0</v>
      </c>
      <c r="F47" s="18" t="n">
        <f aca="false">COUNTIFS('Master Requirements Tracker'!$C$9:$C$158,B47,'Master Requirements Tracker'!$F$9:$F$158,"In Review")</f>
        <v>0</v>
      </c>
      <c r="G47" s="18" t="n">
        <f aca="false">COUNTIFS('Master Requirements Tracker'!$C$9:$C$158,B47,'Master Requirements Tracker'!$F$9:$F$158,"Planned")</f>
        <v>0</v>
      </c>
      <c r="H47" s="19" t="n">
        <f aca="false">IF(C47&gt;0,D47/C47,0)</f>
        <v>1</v>
      </c>
    </row>
    <row r="48" customFormat="false" ht="15" hidden="false" customHeight="false" outlineLevel="0" collapsed="false">
      <c r="B48" s="17" t="s">
        <v>633</v>
      </c>
      <c r="C48" s="18" t="n">
        <f aca="false">COUNTIF('Master Requirements Tracker'!$C$9:$C$158,B48)</f>
        <v>3</v>
      </c>
      <c r="D48" s="18" t="n">
        <f aca="false">COUNTIFS('Master Requirements Tracker'!$C$9:$C$158,B48,'Master Requirements Tracker'!$F$9:$F$158,"Completed")</f>
        <v>1</v>
      </c>
      <c r="E48" s="18" t="n">
        <f aca="false">COUNTIFS('Master Requirements Tracker'!$C$9:$C$158,B48,'Master Requirements Tracker'!$F$9:$F$158,"In Progress")</f>
        <v>1</v>
      </c>
      <c r="F48" s="18" t="n">
        <f aca="false">COUNTIFS('Master Requirements Tracker'!$C$9:$C$158,B48,'Master Requirements Tracker'!$F$9:$F$158,"In Review")</f>
        <v>0</v>
      </c>
      <c r="G48" s="18" t="n">
        <f aca="false">COUNTIFS('Master Requirements Tracker'!$C$9:$C$158,B48,'Master Requirements Tracker'!$F$9:$F$158,"Planned")</f>
        <v>1</v>
      </c>
      <c r="H48" s="19" t="n">
        <f aca="false">IF(C48&gt;0,D48/C48,0)</f>
        <v>0.333333333333333</v>
      </c>
    </row>
    <row r="49" customFormat="false" ht="15" hidden="false" customHeight="false" outlineLevel="0" collapsed="false">
      <c r="B49" s="17" t="s">
        <v>643</v>
      </c>
      <c r="C49" s="18" t="n">
        <f aca="false">COUNTIF('Master Requirements Tracker'!$C$9:$C$158,B49)</f>
        <v>3</v>
      </c>
      <c r="D49" s="18" t="n">
        <f aca="false">COUNTIFS('Master Requirements Tracker'!$C$9:$C$158,B49,'Master Requirements Tracker'!$F$9:$F$158,"Completed")</f>
        <v>1</v>
      </c>
      <c r="E49" s="18" t="n">
        <f aca="false">COUNTIFS('Master Requirements Tracker'!$C$9:$C$158,B49,'Master Requirements Tracker'!$F$9:$F$158,"In Progress")</f>
        <v>0</v>
      </c>
      <c r="F49" s="18" t="n">
        <f aca="false">COUNTIFS('Master Requirements Tracker'!$C$9:$C$158,B49,'Master Requirements Tracker'!$F$9:$F$158,"In Review")</f>
        <v>0</v>
      </c>
      <c r="G49" s="18" t="n">
        <f aca="false">COUNTIFS('Master Requirements Tracker'!$C$9:$C$158,B49,'Master Requirements Tracker'!$F$9:$F$158,"Planned")</f>
        <v>2</v>
      </c>
      <c r="H49" s="19" t="n">
        <f aca="false">IF(C49&gt;0,D49/C49,0)</f>
        <v>0.333333333333333</v>
      </c>
    </row>
    <row r="50" customFormat="false" ht="15" hidden="false" customHeight="false" outlineLevel="0" collapsed="false">
      <c r="B50" s="20" t="s">
        <v>653</v>
      </c>
      <c r="C50" s="21" t="n">
        <f aca="false">SUM(C5:C49)</f>
        <v>150</v>
      </c>
      <c r="D50" s="21" t="n">
        <f aca="false">SUM(D5:D49)</f>
        <v>80</v>
      </c>
      <c r="E50" s="21" t="n">
        <f aca="false">SUM(E5:E49)</f>
        <v>49</v>
      </c>
      <c r="F50" s="21" t="n">
        <f aca="false">SUM(F5:F49)</f>
        <v>2</v>
      </c>
      <c r="G50" s="21" t="n">
        <f aca="false">SUM(G5:G49)</f>
        <v>19</v>
      </c>
      <c r="H50" s="22" t="n">
        <f aca="false">IF(C50&gt;0,D50/C50,0)</f>
        <v>0.533333333333333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E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26"/>
    <col collapsed="false" customWidth="true" hidden="false" outlineLevel="0" max="3" min="3" style="0" width="60"/>
    <col collapsed="false" customWidth="true" hidden="false" outlineLevel="0" max="4" min="4" style="0" width="44"/>
    <col collapsed="false" customWidth="true" hidden="false" outlineLevel="0" max="5" min="5" style="0" width="15"/>
  </cols>
  <sheetData>
    <row r="2" customFormat="false" ht="19.7" hidden="false" customHeight="false" outlineLevel="0" collapsed="false">
      <c r="B2" s="14" t="s">
        <v>655</v>
      </c>
    </row>
    <row r="4" customFormat="false" ht="15" hidden="false" customHeight="false" outlineLevel="0" collapsed="false">
      <c r="B4" s="23" t="s">
        <v>656</v>
      </c>
      <c r="C4" s="23" t="s">
        <v>657</v>
      </c>
      <c r="D4" s="23" t="s">
        <v>658</v>
      </c>
      <c r="E4" s="23" t="s">
        <v>18</v>
      </c>
    </row>
    <row r="5" customFormat="false" ht="30" hidden="false" customHeight="true" outlineLevel="0" collapsed="false">
      <c r="B5" s="24" t="s">
        <v>659</v>
      </c>
      <c r="C5" s="24" t="s">
        <v>660</v>
      </c>
      <c r="D5" s="24" t="s">
        <v>661</v>
      </c>
      <c r="E5" s="25" t="s">
        <v>51</v>
      </c>
    </row>
    <row r="6" customFormat="false" ht="30" hidden="false" customHeight="true" outlineLevel="0" collapsed="false">
      <c r="B6" s="24" t="s">
        <v>662</v>
      </c>
      <c r="C6" s="24" t="s">
        <v>663</v>
      </c>
      <c r="D6" s="24" t="s">
        <v>664</v>
      </c>
      <c r="E6" s="25" t="s">
        <v>51</v>
      </c>
    </row>
    <row r="7" customFormat="false" ht="30" hidden="false" customHeight="true" outlineLevel="0" collapsed="false">
      <c r="B7" s="24" t="s">
        <v>665</v>
      </c>
      <c r="C7" s="24" t="s">
        <v>666</v>
      </c>
      <c r="D7" s="24" t="s">
        <v>667</v>
      </c>
      <c r="E7" s="25" t="s">
        <v>51</v>
      </c>
    </row>
    <row r="8" customFormat="false" ht="30" hidden="false" customHeight="true" outlineLevel="0" collapsed="false">
      <c r="B8" s="24" t="s">
        <v>668</v>
      </c>
      <c r="C8" s="24" t="s">
        <v>669</v>
      </c>
      <c r="D8" s="24" t="s">
        <v>670</v>
      </c>
      <c r="E8" s="25" t="s">
        <v>294</v>
      </c>
    </row>
    <row r="9" customFormat="false" ht="30" hidden="false" customHeight="true" outlineLevel="0" collapsed="false">
      <c r="B9" s="24" t="s">
        <v>671</v>
      </c>
      <c r="C9" s="24" t="s">
        <v>672</v>
      </c>
      <c r="D9" s="24" t="s">
        <v>673</v>
      </c>
      <c r="E9" s="25" t="s">
        <v>51</v>
      </c>
    </row>
    <row r="10" customFormat="false" ht="30" hidden="false" customHeight="true" outlineLevel="0" collapsed="false">
      <c r="B10" s="24" t="s">
        <v>674</v>
      </c>
      <c r="C10" s="24" t="s">
        <v>675</v>
      </c>
      <c r="D10" s="24" t="s">
        <v>676</v>
      </c>
      <c r="E10" s="25" t="s">
        <v>86</v>
      </c>
    </row>
    <row r="11" customFormat="false" ht="30" hidden="false" customHeight="true" outlineLevel="0" collapsed="false">
      <c r="B11" s="24" t="s">
        <v>677</v>
      </c>
      <c r="C11" s="24" t="s">
        <v>678</v>
      </c>
      <c r="D11" s="24" t="s">
        <v>679</v>
      </c>
      <c r="E11" s="25" t="s">
        <v>86</v>
      </c>
    </row>
    <row r="12" customFormat="false" ht="30" hidden="false" customHeight="true" outlineLevel="0" collapsed="false">
      <c r="B12" s="24" t="s">
        <v>680</v>
      </c>
      <c r="C12" s="24" t="s">
        <v>681</v>
      </c>
      <c r="D12" s="24" t="s">
        <v>682</v>
      </c>
      <c r="E12" s="25" t="s">
        <v>86</v>
      </c>
    </row>
  </sheetData>
  <conditionalFormatting sqref="E5:E12">
    <cfRule type="cellIs" priority="2" operator="equal" aboveAverage="0" equalAverage="0" bottom="0" percent="0" rank="0" text="" dxfId="13">
      <formula>"Completed"</formula>
    </cfRule>
    <cfRule type="cellIs" priority="3" operator="equal" aboveAverage="0" equalAverage="0" bottom="0" percent="0" rank="0" text="" dxfId="14">
      <formula>"In Progress"</formula>
    </cfRule>
    <cfRule type="cellIs" priority="4" operator="equal" aboveAverage="0" equalAverage="0" bottom="0" percent="0" rank="0" text="" dxfId="15">
      <formula>"In Review"</formula>
    </cfRule>
    <cfRule type="cellIs" priority="5" operator="equal" aboveAverage="0" equalAverage="0" bottom="0" percent="0" rank="0" text="" dxfId="16">
      <formula>"Planned"</formula>
    </cfRule>
  </conditionalFormatting>
  <dataValidations count="1">
    <dataValidation allowBlank="false" errorStyle="stop" operator="between" showDropDown="false" showErrorMessage="false" showInputMessage="false" sqref="E5:E12" type="list">
      <formula1>"Completed,In Progress,In Review,Planned"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2.75"/>
    <col collapsed="false" customWidth="true" hidden="false" outlineLevel="0" max="2" min="2" style="0" width="26"/>
    <col collapsed="false" customWidth="true" hidden="false" outlineLevel="0" max="3" min="3" style="0" width="95"/>
  </cols>
  <sheetData>
    <row r="2" customFormat="false" ht="19.7" hidden="false" customHeight="false" outlineLevel="0" collapsed="false">
      <c r="B2" s="14" t="s">
        <v>683</v>
      </c>
    </row>
    <row r="4" customFormat="false" ht="52.5" hidden="false" customHeight="true" outlineLevel="0" collapsed="false">
      <c r="B4" s="26" t="s">
        <v>684</v>
      </c>
      <c r="C4" s="27" t="s">
        <v>685</v>
      </c>
    </row>
    <row r="5" customFormat="false" ht="37.5" hidden="false" customHeight="true" outlineLevel="0" collapsed="false">
      <c r="B5" s="26" t="s">
        <v>29</v>
      </c>
      <c r="C5" s="27" t="s">
        <v>686</v>
      </c>
    </row>
    <row r="6" customFormat="false" ht="22.5" hidden="false" customHeight="true" outlineLevel="0" collapsed="false">
      <c r="B6" s="26" t="s">
        <v>51</v>
      </c>
      <c r="C6" s="27" t="s">
        <v>687</v>
      </c>
    </row>
    <row r="7" customFormat="false" ht="37.5" hidden="false" customHeight="true" outlineLevel="0" collapsed="false">
      <c r="B7" s="26" t="s">
        <v>294</v>
      </c>
      <c r="C7" s="27" t="s">
        <v>688</v>
      </c>
    </row>
    <row r="8" customFormat="false" ht="22.5" hidden="false" customHeight="true" outlineLevel="0" collapsed="false">
      <c r="B8" s="26" t="s">
        <v>86</v>
      </c>
      <c r="C8" s="27" t="s">
        <v>689</v>
      </c>
    </row>
    <row r="9" customFormat="false" ht="52.5" hidden="false" customHeight="true" outlineLevel="0" collapsed="false">
      <c r="B9" s="26" t="s">
        <v>21</v>
      </c>
      <c r="C9" s="27" t="s">
        <v>690</v>
      </c>
    </row>
    <row r="10" customFormat="false" ht="37.5" hidden="false" customHeight="true" outlineLevel="0" collapsed="false">
      <c r="B10" s="26" t="s">
        <v>22</v>
      </c>
      <c r="C10" s="27" t="s">
        <v>691</v>
      </c>
    </row>
    <row r="11" customFormat="false" ht="37.5" hidden="false" customHeight="true" outlineLevel="0" collapsed="false">
      <c r="B11" s="26" t="s">
        <v>692</v>
      </c>
      <c r="C11" s="27" t="s">
        <v>693</v>
      </c>
    </row>
    <row r="12" customFormat="false" ht="37.5" hidden="false" customHeight="true" outlineLevel="0" collapsed="false">
      <c r="B12" s="26" t="s">
        <v>20</v>
      </c>
      <c r="C12" s="27" t="s">
        <v>694</v>
      </c>
    </row>
    <row r="13" customFormat="false" ht="22.5" hidden="false" customHeight="true" outlineLevel="0" collapsed="false">
      <c r="B13" s="26" t="s">
        <v>695</v>
      </c>
      <c r="C13" s="27" t="s">
        <v>696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2026-10-11T02:51:57Z</dcterms:created>
  <dc:creator>openpyxl</dc:creator>
  <dc:description/>
  <dc:language>en-US</dc:language>
  <cp:lastModifiedBy/>
  <dcterms:modified xsi:type="dcterms:W3CDTF">2026-10-11T02:51:58Z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