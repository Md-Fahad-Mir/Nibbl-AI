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<sst xmlns="http://schemas.openxmlformats.org/spreadsheetml/2006/main" count="1514" uniqueCount="727">
  <si>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</si>
  <si>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</si>
  <si>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</si>
  <si>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</si>
  <si>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</si>
  <si>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</si>
  <si>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</si>
  <si>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</si>
  <si>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</si>
  <si>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</si>
  <si>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</si>
  <si>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</si>
  <si>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</si>
  <si>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</si>
  <si>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</si>
  <si>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</si>
  <si>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</si>
  <si>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</si>
  <si>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</si>
  <si>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</si>
  <si>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</si>
  <si>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</si>
  <si>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</si>
  <si>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</si>
  <si>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</si>
  <si>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</si>
  <si>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</si>
  <si>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</si>
  <si>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</si>
  <si>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</si>
  <si>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</si>
  <si>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</si>
  <si>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</si>
  <si>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</si>
  <si>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</si>
  <si>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</si>
  <si>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</si>
  <si>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</si>
  <si>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</si>
  <si>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</si>
  <si>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</si>
  <si>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</si>
  <si>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</si>
  <si>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</si>
  <si>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</si>
  <si>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</si>
  <si>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</si>
  <si>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</si>
  <si>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</si>
  <si>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</si>
  <si>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</si>
  <si>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</si>
  <si>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</si>
  <si>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</si>
  <si>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</si>
  <si>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</si>
  <si>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</si>
  <si>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</si>
  <si>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</si>
  <si>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</si>
  <si>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</si>
  <si>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</si>
  <si>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</si>
  <si>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</si>
  <si>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</si>
  <si>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</si>
  <si>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</si>
  <si>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</si>
  <si>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</si>
  <si>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</si>
  <si>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</si>
  <si>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per mockup: image, name, flavor · size, clickable ★ rating + review count (opens Review Management filtered to that product), category, Product ID, receipt alias count, Edit Product; product count + Add Product at the top.</t>
  </si>
  <si>
    <t xml:space="preserve">Click a card's rating; Review Management opens filtered to it.</t>
  </si>
  <si>
    <t xml:space="preserve">Product identity: separate record per flavor/size with permanent Product ID</t>
  </si>
  <si>
    <t xml:space="preserve">One record per flavor / size (name may repeat across variants); Size + Unit + Pack Count; permanent per-brand Product ID (PRD-001…) assigned on save, backfilled for existing products in creation order.</t>
  </si>
  <si>
    <t xml:space="preserve">Add / Edit Product</t>
  </si>
  <si>
    <t xml:space="preserve">Create Vanilla 12 oz and Chocolate 12 oz under one name; each gets its own Product ID.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</si>
  <si>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</si>
  <si>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</si>
  <si>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</si>
  <si>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</si>
  <si>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</si>
  <si>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dropdown from Nibbl's admin-managed list (seeded with 10 standard categories) + Request category; Admin → Settings → Product Categories: add / hide categories and approve / reject brand requests (reason required to reject).</t>
  </si>
  <si>
    <t xml:space="preserve">Brand Dashboard + Admin Dashboard</t>
  </si>
  <si>
    <t xml:space="preserve">Add Product → Category; Admin → Settings</t>
  </si>
  <si>
    <t xml:space="preserve">Request a category; approve it in Admin; it appears in the dropdown.</t>
  </si>
  <si>
    <t xml:space="preserve">Optional UPC / SKU</t>
  </si>
  <si>
    <t xml:space="preserve">SKU field stored.</t>
  </si>
  <si>
    <t xml:space="preserve">Enter a SKU and save.</t>
  </si>
  <si>
    <t xml:space="preserve">Receipt matching aliases: retailer + receipt text + optional item code</t>
  </si>
  <si>
    <t xml:space="preserve">Receipt Matching table on Add / Edit: Retailer + Receipt Product Text + optional Item Code. A retailer limits the alias to that store's receipts; the item code matches when printed on the receipt. Aliases still save from manual review.</t>
  </si>
  <si>
    <t xml:space="preserve">Add / Edit Product → Receipt Matching</t>
  </si>
  <si>
    <t xml:space="preserve">Add an alias with a retailer; a receipt from another store doesn't match it.</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</si>
  <si>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</si>
  <si>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</si>
  <si>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</si>
  <si>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</si>
  <si>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</si>
  <si>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</si>
  <si>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</si>
  <si>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</si>
  <si>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</si>
  <si>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</si>
  <si>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</si>
  <si>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</si>
  <si>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</si>
  <si>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</si>
  <si>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</si>
  <si>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</si>
  <si>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</si>
  <si>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</si>
  <si>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</si>
  <si>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</si>
  <si>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</si>
  <si>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</si>
  <si>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</si>
  <si>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</si>
  <si>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</si>
  <si>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</si>
  <si>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</si>
  <si>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</si>
  <si>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</si>
  <si>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</si>
  <si>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</si>
  <si>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</si>
  <si>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</si>
  <si>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</si>
  <si>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</si>
  <si>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</si>
  <si>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</si>
  <si>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</si>
  <si>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</si>
  <si>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</si>
  <si>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</si>
  <si>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</si>
  <si>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</si>
  <si>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</si>
  <si>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</si>
  <si>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</si>
  <si>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</si>
  <si>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</si>
  <si>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</si>
  <si>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</si>
  <si>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</si>
  <si>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</si>
  <si>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</si>
  <si>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</si>
  <si>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</si>
  <si>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</si>
  <si>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</si>
  <si>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</si>
  <si>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</si>
  <si>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</si>
  <si>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</si>
  <si>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</si>
  <si>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</si>
  <si>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</si>
  <si>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</si>
  <si>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</si>
  <si>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</si>
  <si>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</si>
  <si>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</si>
  <si>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</si>
  <si>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</si>
  <si>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</si>
  <si>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</si>
  <si>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</si>
  <si>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</si>
  <si>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</si>
  <si>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</si>
  <si>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</si>
  <si>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</si>
  <si>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</si>
  <si>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</si>
  <si>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</si>
  <si>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</si>
  <si>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</si>
  <si>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</si>
  <si>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</si>
  <si>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</si>
  <si>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</si>
  <si>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</si>
  <si>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</si>
  <si>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</si>
  <si>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</si>
  <si>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</si>
  <si>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</si>
  <si>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</si>
  <si>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</si>
  <si>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</si>
  <si>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</si>
  <si>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</si>
  <si>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</si>
  <si>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</si>
  <si>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</si>
  <si>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</si>
  <si>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</si>
  <si>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</si>
  <si>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 Shoppers → Claims &amp; Reviews → Cancel claim: reason required; the claim closes, the brand's reserved funds return, and the cancel is audit-logged. Brands can't cancel claims.</t>
  </si>
  <si>
    <t xml:space="preserve">Admin Dashboard + Backend / API</t>
  </si>
  <si>
    <t xml:space="preserve">Admin → Shoppers → shopper → Claims &amp; Reviews</t>
  </si>
  <si>
    <t xml:space="preserve">Cancel an open claim with a reason; the brand's Reserved Funds drop by that claim.</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</si>
  <si>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</si>
  <si>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</si>
  <si>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</si>
  <si>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</si>
  <si>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</si>
  <si>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</si>
  <si>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</si>
  <si>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</si>
  <si>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</si>
  <si>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</si>
  <si>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</si>
  <si>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</si>
  <si>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</si>
  <si>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</si>
  <si>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</si>
  <si>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</si>
  <si>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</si>
  <si>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For You: campaign cards only (brand, headline, description, reward badge, Going fast, Buy at, 'N eligible products · View Products'), no campaign-level rating (each product shows its own on the deal page), category tabs starting with For You, up to 24 per category in one vertical list. Logged-out shoppers browse after Allow Location / Enter ZIP (kept in their browser).</t>
  </si>
  <si>
    <t xml:space="preserve">Website → Browse Offers Nearby / Offer tab</t>
  </si>
  <si>
    <t xml:space="preserve">Open the site logged out, enter a ZIP, switch tabs, open a deal.</t>
  </si>
  <si>
    <t xml:space="preserve">Mobile app: same API (documented).</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</si>
  <si>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</si>
  <si>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</si>
  <si>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</si>
  <si>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</si>
  <si>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</si>
  <si>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</si>
  <si>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</si>
  <si>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</si>
  <si>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</si>
  <si>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</si>
  <si>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</si>
  <si>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</si>
  <si>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</si>
  <si>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</si>
  <si>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</si>
  <si>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</si>
  <si>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</si>
  <si>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Reserve Offer shows email + phone: prefilled when signed in (verified phone read-only), collected when logged out; both consents required. Logged-out shoppers open a deal from its link, then a 6-digit email code signs them in (or creates the account) before Confirm Reservation.</t>
  </si>
  <si>
    <t xml:space="preserve">Website → deal link → Continue</t>
  </si>
  <si>
    <t xml:space="preserve">Open a deal link logged out, enter email + phone, enter the code, Confirm &amp; Reserve.</t>
  </si>
  <si>
    <t xml:space="preserve">Mobile app: same API (documented for the app developer).</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</si>
  <si>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</si>
  <si>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</si>
  <si>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</si>
  <si>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</si>
  <si>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</si>
  <si>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</si>
  <si>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</si>
  <si>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</si>
  <si>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</si>
  <si>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</si>
  <si>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</si>
  <si>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</si>
  <si>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</si>
  <si>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</si>
  <si>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</si>
  <si>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</si>
  <si>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</si>
  <si>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10 Master pop-ups (RB-33) with Master titles, messages, notes and buttons: Consent required (Review &amp; Accept), All 5 claim slots in use / Already claimed (View My Offers), Please wait — N days remaining, One-time redeemed, Not started (date), Paused or ended, Today's rebates claimed (Explore + View My Offers), Receipt from an eligible retailer required (View Eligible Retailers), Offer no longer available. The API returns the copy (title, message, note, days_remaining, starts_at).</t>
  </si>
  <si>
    <t xml:space="preserve">Website → deal → Continue</t>
  </si>
  <si>
    <t xml:space="preserve">Trigger consent, already-claimed and cooldown cases.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</si>
  <si>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</si>
  <si>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</si>
  <si>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</si>
  <si>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</si>
  <si>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</si>
  <si>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</si>
  <si>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</si>
  <si>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</si>
  <si>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</si>
  <si>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</si>
  <si>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</si>
  <si>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</si>
  <si>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</si>
  <si>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</si>
  <si>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</si>
  <si>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</si>
  <si>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</si>
  <si>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</si>
  <si>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</si>
  <si>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</si>
  <si>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</si>
  <si>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</si>
  <si>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</si>
  <si>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</si>
  <si>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</si>
  <si>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</si>
  <si>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</si>
  <si>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</si>
  <si>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</si>
  <si>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</si>
  <si>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</si>
  <si>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</si>
  <si>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</si>
  <si>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</si>
  <si>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</si>
  <si>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</si>
  <si>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</si>
  <si>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</si>
  <si>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</si>
  <si>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</si>
  <si>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</si>
  <si>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</si>
  <si>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</si>
  <si>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</si>
  <si>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</si>
  <si>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</si>
  <si>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</si>
  <si>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</si>
  <si>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</si>
  <si>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</si>
  <si>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</si>
  <si>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</si>
  <si>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</si>
  <si>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</si>
  <si>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</si>
  <si>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</si>
  <si>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</si>
  <si>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</si>
  <si>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</si>
  <si>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</si>
  <si>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</si>
  <si>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</si>
  <si>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</si>
  <si>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</si>
  <si>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</si>
  <si>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</si>
  <si>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</si>
  <si>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</si>
  <si>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</si>
  <si>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</si>
  <si>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</si>
  <si>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</si>
  <si>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</si>
  <si>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</si>
  <si>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</si>
  <si>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</si>
  <si>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</si>
  <si>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</si>
  <si>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</si>
  <si>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</si>
  <si>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</si>
  <si>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</si>
  <si>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</si>
  <si>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</si>
  <si>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</si>
  <si>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</si>
  <si>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</si>
  <si>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</si>
  <si>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Question pool: add, remove, ✨ Suggest Questions, and Test Review Chat (the same planned questions with answer chips and the AI draft; nothing saved or paid).</t>
  </si>
  <si>
    <t xml:space="preserve">Review Campaigns → Create / campaign page</t>
  </si>
  <si>
    <t xml:space="preserve">Run Test Review Chat to the draft.</t>
  </si>
  <si>
    <t xml:space="preserve">Save Draft / Submit for Nibbl Review (published after review)</t>
  </si>
  <si>
    <t xml:space="preserve">Save Draft / Submit for Nibbl Review; Admin → Campaign Approvals → Review campaigns tab: Approve / Request changes / Reject (comment required); brand sees status + Nibbl's comment and resubmits. Approved campaigns can be paused and resumed. Campaigns live before this release were grandfathered as approved.</t>
  </si>
  <si>
    <t xml:space="preserve">Review Campaigns; Admin → Campaign Approvals</t>
  </si>
  <si>
    <t xml:space="preserve">Submit a campaign, request changes in Admin, resubmit, approve.</t>
  </si>
  <si>
    <t xml:space="preserve">Live shopper preview (mobile)</t>
  </si>
  <si>
    <t xml:space="preserve">Live mobile preview of the shopper's review card (campaign image, Share your voice, $1 reward, 30 days left, Purchase verified, Claim $1) updates as the brand edits.</t>
  </si>
  <si>
    <t xml:space="preserve">Change the image / products; the preview updates.</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</si>
  <si>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</si>
  <si>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</si>
  <si>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</si>
  <si>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</si>
  <si>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</si>
  <si>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Website: review card (Share your voice · $1 · days left · Claim $1) → Product Confirmed (or This isn't my product) → Multiple Matches when receipt wording fits several variants → Missing Consent only when missing → Share Your Voice → chat.</t>
  </si>
  <si>
    <t xml:space="preserve">Website → My Offers → review card</t>
  </si>
  <si>
    <t xml:space="preserve">Buy a product sold in two flavors under one name; pick the right one.</t>
  </si>
  <si>
    <t xml:space="preserve">Mobile app screens are the app developer's.</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</si>
  <si>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</si>
  <si>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</si>
  <si>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</si>
  <si>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</si>
  <si>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</si>
  <si>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</si>
  <si>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</si>
  <si>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</si>
  <si>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</si>
  <si>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</si>
  <si>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</si>
  <si>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Separate recommend and buy-again questions with Yes, definitely / Maybe / No chips (answers saved as would-recommend / would-buy-again); title ≤ 100 and body ≤ 500 with counters, AI drafts trimmed to fit.</t>
  </si>
  <si>
    <t xml:space="preserve">Complete a review; check the counters and chips.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</si>
  <si>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</si>
  <si>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</si>
  <si>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</si>
  <si>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</si>
  <si>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</si>
  <si>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</si>
  <si>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star breakdown, % recommend and % would buy again on the product reviews overview.</t>
  </si>
  <si>
    <t xml:space="preserve">Open an offer with reviews.</t>
  </si>
  <si>
    <t xml:space="preserve">AI summary (positives + improvement) waits on the AI service's summary endpoint; the backend hook is ready.</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</si>
  <si>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</si>
  <si>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</si>
  <si>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</si>
  <si>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</si>
  <si>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</si>
  <si>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</si>
  <si>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</si>
  <si>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</si>
  <si>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</si>
  <si>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</si>
  <si>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Columns per Master: Customer, Contact, Brand Activity (claims / rebates / reviews), Site Activity (total claims / % completion / reviews), Open Claims, Cooldowns (days left), Last Active, Status (Active / Banned), View. Tabs: All, Open Claim, Active Cooldown, Completed Rebate, Banned, Inactive.</t>
  </si>
  <si>
    <t xml:space="preserve">Open Customers; check each column and tab against a shopper with an open claim and a cooldown.</t>
  </si>
  <si>
    <t xml:space="preserve">Customer Profile</t>
  </si>
  <si>
    <t xml:space="preserve">Header (opt-in badges, status) + Ban Customer with reason</t>
  </si>
  <si>
    <t xml:space="preserve">Header: name, contact, customer since, last active, Nibbl Opt-In + brand Opt-In badges, Active/Banned. Ban modal with reason (suspicious activity, altered receipts, abuse, other); banned shoppers can't claim or get review opportunities from the brand; existing claims stay valid. Lift Ban.</t>
  </si>
  <si>
    <t xml:space="preserve">Customers → View → Ban Customer</t>
  </si>
  <si>
    <t xml:space="preserve">Ban with a reason; status shows Banned with the reason; Lift Ban restores it.</t>
  </si>
  <si>
    <t xml:space="preserve">#46</t>
  </si>
  <si>
    <t xml:space="preserve">Relationship with brand · Nibbl activity totals · Recent activity</t>
  </si>
  <si>
    <t xml:space="preserve">Relationship tiles (claims, completed rebates, conversion, rewards, reviews, open claims); Nibbl totals only (claims, completion, reviews, rewards) — other brands' data never shown; recent activity timeline for this brand.</t>
  </si>
  <si>
    <t xml:space="preserve">Customers → View</t>
  </si>
  <si>
    <t xml:space="preserve">Open a profile; totals match the shopper's history.</t>
  </si>
  <si>
    <t xml:space="preserve">Open claims · Cooldowns with Remove (confirmation + audit)</t>
  </si>
  <si>
    <t xml:space="preserve">Open claims with days left. Rebate and review cooldowns with Remove → confirmation → cooldown cleared and an audit-log entry (who, when, which). Managers only.</t>
  </si>
  <si>
    <t xml:space="preserve">Customers → View → Cooldowns → Remove</t>
  </si>
  <si>
    <t xml:space="preserve">Remove a cooldown; the shopper can claim/review again; the audit log shows the removal.</t>
  </si>
  <si>
    <t xml:space="preserve">Redemption history: full receipt 30 days, then matching line only</t>
  </si>
  <si>
    <t xml:space="preserve">Redemption history with View receipt + days left for 30 days; afterwards only the matching line item(s) are shown.</t>
  </si>
  <si>
    <t xml:space="preserve">Customers → View → Redemption History</t>
  </si>
  <si>
    <t xml:space="preserve">Recent receipt shows View receipt; one older than 30 days shows Matching line only.</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</si>
  <si>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</si>
  <si>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</si>
  <si>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</si>
  <si>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</si>
  <si>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</si>
  <si>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</si>
  <si>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</si>
  <si>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</si>
  <si>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</si>
  <si>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</si>
  <si>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</si>
  <si>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Tested on production 13 Oct 2026 in Stripe test mode: $10 top-up with card 4242 credited by webhook; auto-refill enabled in the UI; the auto-refill charge to the saved card credited the wallet; the job skips brands with no recent spend. Live keys are swapped in at go-live (client decision: keep sandbox for testing).</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</si>
  <si>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</si>
  <si>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</si>
  <si>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</si>
  <si>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</si>
  <si>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</si>
  <si>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</si>
  <si>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</si>
  <si>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</si>
  <si>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</si>
  <si>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</si>
  <si>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</si>
  <si>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</si>
  <si>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</si>
  <si>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</si>
  <si>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</si>
  <si>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</si>
  <si>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</si>
  <si>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</si>
  <si>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</si>
  <si>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</si>
  <si>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</si>
  <si>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</si>
  <si>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</si>
  <si>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</si>
  <si>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</si>
  <si>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</si>
  <si>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</si>
  <si>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</si>
  <si>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</si>
  <si>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</si>
  <si>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</si>
  <si>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</si>
  <si>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In Progress</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</si>
  <si>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</si>
  <si>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</si>
  <si>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</si>
  <si>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</si>
  <si>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</si>
  <si>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</si>
  <si>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</si>
  <si>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</si>
  <si>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</si>
  <si>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</si>
  <si>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</si>
  <si>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</si>
  <si>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</si>
  <si>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</si>
  <si>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</si>
  <si>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</si>
  <si>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</si>
  <si>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</si>
  <si>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</si>
  <si>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</si>
  <si>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</si>
  <si>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</si>
  <si>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</si>
  <si>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</si>
  <si>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</si>
  <si>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</si>
  <si>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</si>
  <si>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</si>
  <si>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</si>
  <si>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</si>
  <si>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</si>
  <si>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</si>
  <si>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</si>
  <si>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</si>
  <si>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</si>
  <si>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</si>
  <si>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</si>
  <si>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</si>
  <si>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</si>
  <si>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</si>
  <si>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</si>
  <si>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</si>
  <si>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</si>
  <si>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</si>
  <si>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</si>
  <si>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</si>
  <si>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</si>
  <si>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</si>
  <si>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</si>
  <si>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</si>
  <si>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</si>
  <si>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</si>
  <si>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</si>
  <si>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</si>
  <si>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</si>
  <si>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</si>
  <si>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</si>
  <si>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</si>
  <si>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</si>
  <si>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</si>
  <si>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</si>
  <si>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</si>
  <si>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</si>
  <si>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</si>
  <si>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</si>
  <si>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</si>
  <si>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Tested on production 13 Oct 2026: $1 website withdrawal — amount → locked PayPal → SMS code to a real phone → confirm → Requested (Ready for Batch).</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</si>
  <si>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</si>
  <si>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</si>
  <si>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</si>
  <si>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</si>
  <si>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</si>
  <si>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</si>
  <si>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</si>
  <si>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</si>
  <si>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</si>
  <si>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</si>
  <si>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</si>
  <si>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</si>
  <si>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</si>
  <si>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</si>
  <si>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</si>
  <si>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</si>
  <si>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</si>
  <si>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</si>
  <si>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</si>
  <si>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</si>
  <si>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</si>
  <si>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</si>
  <si>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</si>
  <si>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</si>
  <si>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</si>
  <si>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</si>
  <si>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</si>
  <si>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</si>
  <si>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6-digit email code (no password) — on the sign-in screen and during Reserve Offer; passwords still work for existing shoppers.</t>
  </si>
  <si>
    <t xml:space="preserve">Website → Sign in → Email me a sign-in code</t>
  </si>
  <si>
    <t xml:space="preserve">Sign in with a code; open My Offers, Wallet and Profile.</t>
  </si>
  <si>
    <t xml:space="preserve">Profile &amp; account security: verified phone locked; change via admin with re-verification; history</t>
  </si>
  <si>
    <t xml:space="preserve">A verified phone is locked: the shopper requests a change (new number + reason); Nibbl approves or rejects (reason required) from Admin → Shoppers (filter: phone change pending; dashboard Needs Attention tile); approved numbers must be verified by SMS (withdrawals pause 48 h). Phone history (requests, verifications, resets) on the shopper page.</t>
  </si>
  <si>
    <t xml:space="preserve">Website → Profile → Phone; Admin → Shoppers</t>
  </si>
  <si>
    <t xml:space="preserve">Request a change; approve it in Admin; verify the new number.</t>
  </si>
  <si>
    <t xml:space="preserve">Admin — Dashboard</t>
  </si>
  <si>
    <t xml:space="preserve">Revenue cards, Needs Attention, Brand Revenue (category/status filter, lowest first), brand-funded rewards</t>
  </si>
  <si>
    <t xml:space="preserve">Revenue cards, Needs Attention links, Brand Revenue with category / status / plan filters, lowest first, Total Nibbl Revenue + Last Activity, brand-funded rewards shown separately.</t>
  </si>
  <si>
    <t xml:space="preserve">Admin Dashboard</t>
  </si>
  <si>
    <t xml:space="preserve">Admin → Dashboard</t>
  </si>
  <si>
    <t xml:space="preserve">Change the date range and the category filter.</t>
  </si>
  <si>
    <t xml:space="preserve">A brand's category = its most common product category (the sign-up category isn't stored).</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</si>
  <si>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</si>
  <si>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</si>
  <si>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</si>
  <si>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</si>
  <si>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</si>
  <si>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</si>
  <si>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</si>
  <si>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</si>
  <si>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</si>
  <si>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</si>
  <si>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</si>
  <si>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</si>
  <si>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</si>
  <si>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</si>
  <si>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</si>
  <si>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</si>
  <si>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</si>
  <si>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</si>
  <si>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</si>
  <si>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</si>
  <si>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</si>
  <si>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</si>
  <si>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</si>
  <si>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KPIs (active, pending verification, failed payments, suspended); table with category, plan, Nibbl revenue, wallet funds, payment status, last activity, status; search, filters, sort (lowest revenue first).</t>
  </si>
  <si>
    <t xml:space="preserve">Admin → Brands</t>
  </si>
  <si>
    <t xml:space="preserve">Filter by category and plan; sort by lowest revenue.</t>
  </si>
  <si>
    <t xml:space="preserve">#45</t>
  </si>
  <si>
    <t xml:space="preserve">Admin brand access mode ('viewing as Nibbl', every action logged) + brand summary + actions</t>
  </si>
  <si>
    <t xml:space="preserve">Selected-brand summary (verified, payment connected, wallet funds, promotional credits, Nibbl revenue, active campaigns); Open Brand Dashboard opens the brand app in Nibbl Admin Mode (banner: Viewing &lt;brand&gt;. Every action is logged.), every change made there is audit-logged; Add Promotional Credit; Suspend / Reactivate.</t>
  </si>
  <si>
    <t xml:space="preserve">Admin → Brands → brand → Open Brand Dashboard</t>
  </si>
  <si>
    <t xml:space="preserve">Open a brand's dashboard, change a setting, then find it in Settings → View Audit Log.</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</si>
  <si>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</si>
  <si>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</si>
  <si>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</si>
  <si>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</si>
  <si>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</si>
  <si>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</si>
  <si>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</si>
  <si>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</si>
  <si>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</si>
  <si>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</si>
  <si>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</si>
  <si>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</si>
  <si>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Searchable list (name, email, phone, Shopper ID) with account status, wallet, redemptions, referrals, brand suspensions, last activity.</t>
  </si>
  <si>
    <t xml:space="preserve">Admin → Shoppers</t>
  </si>
  <si>
    <t xml:space="preserve">Search a shopper by email.</t>
  </si>
  <si>
    <t xml:space="preserve">Detail tabs (overview, wallet ledger, claims &amp; reviews, referrals, suspensions), purchase activity, cooldowns, adjust wallet, internal note, global suspend</t>
  </si>
  <si>
    <t xml:space="preserve">Selected shopper: identity + status; tabs Overview (account &amp; payout, wallet: available / pending / lifetime paid, purchase activity: brands + retailers, active cooldowns, internal notes), Wallet Ledger, Claims &amp; Reviews (cancel claim), Referrals, Suspensions; Adjust Wallet (credit/debit, reason required, before/after audit), Add Internal Note, Global Suspend / Reactivate.</t>
  </si>
  <si>
    <t xml:space="preserve">Admin → Shoppers → shopper</t>
  </si>
  <si>
    <t xml:space="preserve">Adjust a wallet with a reason; add a note; check the ledger tab.</t>
  </si>
  <si>
    <t xml:space="preserve">#46, #51</t>
  </si>
  <si>
    <t xml:space="preserve">Admin — Suspensions</t>
  </si>
  <si>
    <t xml:space="preserve">Summary, list, review (remove brand suspension, global suspend), repeated-suspension alert</t>
  </si>
  <si>
    <t xml:space="preserve">New Suspensions page: summary (active brand suspensions, repeat suspensions, global suspensions), searchable list (brand, reason, date, prior count, status) with date/status filters; detail with View Shopper, Remove Brand Suspension, Globally Suspend; repeated suspensions alert only.</t>
  </si>
  <si>
    <t xml:space="preserve">Admin → Suspensions</t>
  </si>
  <si>
    <t xml:space="preserve">Remove a brand suspension; globally suspend a shopper.</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</si>
  <si>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</si>
  <si>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</si>
  <si>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</si>
  <si>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</si>
  <si>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</si>
  <si>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</si>
  <si>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</si>
  <si>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New Analytics page: revenue sources, promotional credits used, refunds, processing costs, net revenue, brand-funded rewards; daily Revenue Trend chart; Brand Revenue Contribution (credits + processing per brand) with category / plan filters and Export CSV.</t>
  </si>
  <si>
    <t xml:space="preserve">Admin → Analytics</t>
  </si>
  <si>
    <t xml:space="preserve">Switch the date range; export the CSV.</t>
  </si>
  <si>
    <t xml:space="preserve">Processing costs are estimates (Stripe 2.9% + $0.30 per wallet top-up; $0.25 per payout). Refunds = brand wallet cash returned, shown but not deducted from revenue.</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</si>
  <si>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</si>
  <si>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</si>
  <si>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</si>
  <si>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</si>
  <si>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</si>
  <si>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</si>
  <si>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</si>
  <si>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</si>
  <si>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</si>
  <si>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</si>
  <si>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</si>
  <si>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</si>
  <si>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Toggles for the Master rules: duplicate payout identity, same device, self-referral (same name / email / phone, Gmail dots and +tags ignored), unusual referral volume (limit per 7 days); same-network and fraud-signal checks kept as additional toggles.</t>
  </si>
  <si>
    <t xml:space="preserve">Turn a rule off; a matching referral no longer gets flagged.</t>
  </si>
  <si>
    <t xml:space="preserve">Admin Users (staff roles) + View Audit Log</t>
  </si>
  <si>
    <t xml:space="preserve">Admin Users: list, + Add User (Administrator / Operations / Analytics; new admins set their password through the emailed code), change role, remove access; Analytics is read-only and only Administrators change Settings or Admin Users; View Audit Log (latest 200 sensitive actions).</t>
  </si>
  <si>
    <t xml:space="preserve">Admin → Settings → Admin Users</t>
  </si>
  <si>
    <t xml:space="preserve">Add an Analytics user; they can view pages but can't save changes.</t>
  </si>
  <si>
    <t xml:space="preserve">#50</t>
  </si>
  <si>
    <t xml:space="preserve">Cross-cutting</t>
  </si>
  <si>
    <t xml:space="preserve">Fraud &amp; abuse: duplicates, velocity, device / IP / browser checks</t>
  </si>
  <si>
    <t xml:space="preserve">Admin → Users → user</t>
  </si>
  <si>
    <t xml:space="preserve">Create 3 accounts on one browser.</t>
  </si>
  <si>
    <t xml:space="preserve">App must send X-Device-Id.</t>
  </si>
  <si>
    <t xml:space="preserve">#51</t>
  </si>
  <si>
    <t xml:space="preserve">Receipt retention / cleanup (full receipt 30 days, then matching line only)</t>
  </si>
  <si>
    <t xml:space="preserve">Scheduled job (every 15 min) deletes receipt images 30 days after submission (pending receipts are skipped) and records when; matching line items and receipt details stay.</t>
  </si>
  <si>
    <t xml:space="preserve">Backend job</t>
  </si>
  <si>
    <t xml:space="preserve">Automated test: a 31-day-old receipt loses its image and keeps the matching line.</t>
  </si>
  <si>
    <t xml:space="preserve">Ships switched off in production (RECEIPT_IMAGE_PURGE_ENABLED) until the owner approves deleting existing receipt photos.</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</si>
  <si>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</si>
  <si>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</si>
  <si>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</si>
  <si>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</si>
  <si>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</si>
  <si>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</si>
  <si>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Planned</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</si>
  <si>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</si>
  <si>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</si>
  <si>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</si>
  <si>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</si>
  <si>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</si>
  <si>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</si>
  <si>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Keep Stripe in test mode for testing; swap to the client's live keys at go-live</t>
  </si>
  <si>
    <t xml:space="preserve">Top-up and auto-refill tested on production in test mode 13 Oct 2026. Client sandbox keys have no sandbox webhook secret; live keys + live webhook secret received</t>
  </si>
  <si>
    <t xml:space="preserve">Our team — Twilio</t>
  </si>
  <si>
    <t xml:space="preserve">Retest SMS-verified withdrawals; lock verified phones (change via admin + history)</t>
  </si>
  <si>
    <t xml:space="preserve">Twilio SMS verified on production 12 Oct 2026; real website withdrawal with the SMS step completed 13 Oct 2026</t>
  </si>
  <si>
    <t xml:space="preserve">Client — DNS</t>
  </si>
  <si>
    <t xml:space="preserve">Cloudflare access for www / brand / admin so the web apps can go live</t>
  </si>
  <si>
    <t xml:space="preserve">Done — www / brand / admin.joinnibbl.com live with SSL on 11 Oct 2026</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</si>
  <si>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</si>
  <si>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</si>
  <si>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</si>
  <si>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</si>
  <si>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</si>
  <si>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</si>
  <si>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</si>
  <si>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</si>
  <si>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 (per the client's 10 Oct credentials doc). Note: the Master says Klaviyo sends system emails — confirm SES is the long-term choice</t>
  </si>
  <si>
    <t xml:space="preserve">Client — Firebase</t>
  </si>
  <si>
    <t xml:space="preserve">Push via Workload Identity Federation (EC2 role sent)</t>
  </si>
  <si>
    <t xml:space="preserve">Waiting on client setup</t>
  </si>
  <si>
    <t xml:space="preserve">Client — Klaviyo / SMS decision</t>
  </si>
  <si>
    <t xml:space="preserve">Master Settings §3: 'Klaviyo will send Nibbl system emails and SMS messages' (Nibbl's internal Klaviyo account). Brand SMS toggles are stored but no SMS is sent yet</t>
  </si>
  <si>
    <t xml:space="preserve">Decision needed: Klaviyo access (private API key + SMS sender) as the Master says, or use the existing Twilio account for brand SMS</t>
  </si>
  <si>
    <t xml:space="preserve">Client — FAQ content</t>
  </si>
  <si>
    <t xml:space="preserve">Brand homepage 'Questions?' strip (Master mockup ④ only): Pricing / Review campaigns / Account &amp; billing / General FAQ</t>
  </si>
  <si>
    <t xml:space="preserve">No FAQ content in the Master — need questions/answers or a help-centre link; shown as labels until then</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</si>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</sst>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146</v>
      </c>
      <c r="E5" s="4" t="n">
        <f aca="false">COUNTIF(F9:F158,"In Progress")</f>
        <v>1</v>
      </c>
      <c r="F5" s="4" t="n">
        <f aca="false">COUNTIF(F9:F158,"In Review")</f>
        <v>3</v>
      </c>
      <c r="G5" s="4" t="n">
        <f aca="false">COUNTIF(F9:F158,"Planned")</f>
        <v>0</v>
      </c>
      <c r="H5" s="5" t="n">
        <f aca="false">IF(C5&gt;0,D5/C5,0)</f>
        <v>0.973333333333333</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75.75" hidden="false" customHeight="true" outlineLevel="0" collapsed="false">
      <c r="B18" s="9" t="n">
        <v>10</v>
      </c>
      <c r="C18" s="10" t="s">
        <v>65</v>
      </c>
      <c r="D18" s="10" t="s">
        <v>70</v>
      </c>
      <c r="E18" s="10" t="s">
        <v>71</v>
      </c>
      <c r="F18" s="11" t="s">
        <v>29</v>
      </c>
      <c r="G18" s="10" t="s">
        <v>30</v>
      </c>
      <c r="H18" s="10" t="s">
        <v>31</v>
      </c>
      <c r="I18" s="10" t="s">
        <v>65</v>
      </c>
      <c r="J18" s="10" t="s">
        <v>72</v>
      </c>
      <c r="K18" s="10"/>
      <c r="L18" s="12"/>
      <c r="M18" s="13" t="s">
        <v>69</v>
      </c>
    </row>
    <row r="19" customFormat="false" ht="75.75" hidden="false" customHeight="true" outlineLevel="0" collapsed="false">
      <c r="B19" s="9" t="n">
        <v>11</v>
      </c>
      <c r="C19" s="10" t="s">
        <v>65</v>
      </c>
      <c r="D19" s="10" t="s">
        <v>73</v>
      </c>
      <c r="E19" s="10" t="s">
        <v>74</v>
      </c>
      <c r="F19" s="11" t="s">
        <v>29</v>
      </c>
      <c r="G19" s="10" t="s">
        <v>51</v>
      </c>
      <c r="H19" s="10" t="s">
        <v>31</v>
      </c>
      <c r="I19" s="10" t="s">
        <v>75</v>
      </c>
      <c r="J19" s="10" t="s">
        <v>76</v>
      </c>
      <c r="K19" s="10"/>
      <c r="L19" s="12"/>
      <c r="M19" s="13" t="s">
        <v>69</v>
      </c>
    </row>
    <row r="20" customFormat="false" ht="33.75" hidden="false" customHeight="true" outlineLevel="0" collapsed="false">
      <c r="B20" s="9" t="n">
        <v>12</v>
      </c>
      <c r="C20" s="10" t="s">
        <v>65</v>
      </c>
      <c r="D20" s="10" t="s">
        <v>77</v>
      </c>
      <c r="E20" s="10" t="s">
        <v>78</v>
      </c>
      <c r="F20" s="11" t="s">
        <v>29</v>
      </c>
      <c r="G20" s="10" t="s">
        <v>51</v>
      </c>
      <c r="H20" s="10" t="s">
        <v>31</v>
      </c>
      <c r="I20" s="10" t="s">
        <v>75</v>
      </c>
      <c r="J20" s="10" t="s">
        <v>79</v>
      </c>
      <c r="K20" s="10"/>
      <c r="L20" s="12"/>
      <c r="M20" s="13" t="s">
        <v>80</v>
      </c>
    </row>
    <row r="21" customFormat="false" ht="90" hidden="false" customHeight="true" outlineLevel="0" collapsed="false">
      <c r="B21" s="9" t="n">
        <v>13</v>
      </c>
      <c r="C21" s="10" t="s">
        <v>65</v>
      </c>
      <c r="D21" s="10" t="s">
        <v>81</v>
      </c>
      <c r="E21" s="10" t="s">
        <v>82</v>
      </c>
      <c r="F21" s="11" t="s">
        <v>29</v>
      </c>
      <c r="G21" s="10" t="s">
        <v>83</v>
      </c>
      <c r="H21" s="10" t="s">
        <v>31</v>
      </c>
      <c r="I21" s="10" t="s">
        <v>84</v>
      </c>
      <c r="J21" s="10" t="s">
        <v>85</v>
      </c>
      <c r="K21" s="10"/>
      <c r="L21" s="12"/>
      <c r="M21" s="13" t="s">
        <v>31</v>
      </c>
    </row>
    <row r="22" customFormat="false" ht="25.5" hidden="false" customHeight="true" outlineLevel="0" collapsed="false">
      <c r="B22" s="9" t="n">
        <v>14</v>
      </c>
      <c r="C22" s="10" t="s">
        <v>65</v>
      </c>
      <c r="D22" s="10" t="s">
        <v>86</v>
      </c>
      <c r="E22" s="10" t="s">
        <v>87</v>
      </c>
      <c r="F22" s="11" t="s">
        <v>29</v>
      </c>
      <c r="G22" s="10" t="s">
        <v>30</v>
      </c>
      <c r="H22" s="10" t="s">
        <v>31</v>
      </c>
      <c r="I22" s="10" t="s">
        <v>75</v>
      </c>
      <c r="J22" s="10" t="s">
        <v>88</v>
      </c>
      <c r="K22" s="10"/>
      <c r="L22" s="12"/>
      <c r="M22" s="13" t="s">
        <v>69</v>
      </c>
    </row>
    <row r="23" customFormat="false" ht="90" hidden="false" customHeight="true" outlineLevel="0" collapsed="false">
      <c r="B23" s="9" t="n">
        <v>15</v>
      </c>
      <c r="C23" s="10" t="s">
        <v>65</v>
      </c>
      <c r="D23" s="10" t="s">
        <v>89</v>
      </c>
      <c r="E23" s="10" t="s">
        <v>90</v>
      </c>
      <c r="F23" s="11" t="s">
        <v>29</v>
      </c>
      <c r="G23" s="10" t="s">
        <v>51</v>
      </c>
      <c r="H23" s="10" t="s">
        <v>31</v>
      </c>
      <c r="I23" s="10" t="s">
        <v>91</v>
      </c>
      <c r="J23" s="10" t="s">
        <v>92</v>
      </c>
      <c r="K23" s="10"/>
      <c r="L23" s="12"/>
      <c r="M23" s="13" t="s">
        <v>93</v>
      </c>
    </row>
    <row r="24" customFormat="false" ht="33.75" hidden="false" customHeight="true" outlineLevel="0" collapsed="false">
      <c r="B24" s="9" t="n">
        <v>16</v>
      </c>
      <c r="C24" s="10" t="s">
        <v>65</v>
      </c>
      <c r="D24" s="10" t="s">
        <v>94</v>
      </c>
      <c r="E24" s="10" t="s">
        <v>95</v>
      </c>
      <c r="F24" s="11" t="s">
        <v>29</v>
      </c>
      <c r="G24" s="10" t="s">
        <v>30</v>
      </c>
      <c r="H24" s="10" t="s">
        <v>31</v>
      </c>
      <c r="I24" s="10" t="s">
        <v>96</v>
      </c>
      <c r="J24" s="10" t="s">
        <v>97</v>
      </c>
      <c r="K24" s="10"/>
      <c r="L24" s="12"/>
      <c r="M24" s="13" t="s">
        <v>98</v>
      </c>
    </row>
    <row r="25" customFormat="false" ht="33.75" hidden="false" customHeight="true" outlineLevel="0" collapsed="false">
      <c r="B25" s="9" t="n">
        <v>17</v>
      </c>
      <c r="C25" s="10" t="s">
        <v>65</v>
      </c>
      <c r="D25" s="10" t="s">
        <v>99</v>
      </c>
      <c r="E25" s="10" t="s">
        <v>100</v>
      </c>
      <c r="F25" s="11" t="s">
        <v>29</v>
      </c>
      <c r="G25" s="10" t="s">
        <v>30</v>
      </c>
      <c r="H25" s="10" t="s">
        <v>31</v>
      </c>
      <c r="I25" s="10" t="s">
        <v>101</v>
      </c>
      <c r="J25" s="10" t="s">
        <v>102</v>
      </c>
      <c r="K25" s="10"/>
      <c r="L25" s="12"/>
      <c r="M25" s="13" t="s">
        <v>69</v>
      </c>
    </row>
    <row r="26" customFormat="false" ht="33.75" hidden="false" customHeight="true" outlineLevel="0" collapsed="false">
      <c r="B26" s="9" t="n">
        <v>18</v>
      </c>
      <c r="C26" s="10" t="s">
        <v>65</v>
      </c>
      <c r="D26" s="10" t="s">
        <v>103</v>
      </c>
      <c r="E26" s="10" t="s">
        <v>104</v>
      </c>
      <c r="F26" s="11" t="s">
        <v>29</v>
      </c>
      <c r="G26" s="10" t="s">
        <v>30</v>
      </c>
      <c r="H26" s="10" t="s">
        <v>31</v>
      </c>
      <c r="I26" s="10" t="s">
        <v>105</v>
      </c>
      <c r="J26" s="10" t="s">
        <v>106</v>
      </c>
      <c r="K26" s="10"/>
      <c r="L26" s="12"/>
      <c r="M26" s="13" t="s">
        <v>98</v>
      </c>
    </row>
    <row r="27" customFormat="false" ht="33.75" hidden="false" customHeight="true" outlineLevel="0" collapsed="false">
      <c r="B27" s="9" t="n">
        <v>19</v>
      </c>
      <c r="C27" s="10" t="s">
        <v>107</v>
      </c>
      <c r="D27" s="10" t="s">
        <v>108</v>
      </c>
      <c r="E27" s="10" t="s">
        <v>109</v>
      </c>
      <c r="F27" s="11" t="s">
        <v>29</v>
      </c>
      <c r="G27" s="10" t="s">
        <v>30</v>
      </c>
      <c r="H27" s="10" t="s">
        <v>31</v>
      </c>
      <c r="I27" s="10" t="s">
        <v>110</v>
      </c>
      <c r="J27" s="10" t="s">
        <v>111</v>
      </c>
      <c r="K27" s="10"/>
      <c r="L27" s="12"/>
      <c r="M27" s="13" t="s">
        <v>112</v>
      </c>
    </row>
    <row r="28" customFormat="false" ht="33.75" hidden="false" customHeight="true" outlineLevel="0" collapsed="false">
      <c r="B28" s="9" t="n">
        <v>20</v>
      </c>
      <c r="C28" s="10" t="s">
        <v>107</v>
      </c>
      <c r="D28" s="10" t="s">
        <v>113</v>
      </c>
      <c r="E28" s="10" t="s">
        <v>114</v>
      </c>
      <c r="F28" s="11" t="s">
        <v>29</v>
      </c>
      <c r="G28" s="10" t="s">
        <v>30</v>
      </c>
      <c r="H28" s="10" t="s">
        <v>31</v>
      </c>
      <c r="I28" s="10" t="s">
        <v>110</v>
      </c>
      <c r="J28" s="10" t="s">
        <v>115</v>
      </c>
      <c r="K28" s="10"/>
      <c r="L28" s="12"/>
      <c r="M28" s="13" t="s">
        <v>116</v>
      </c>
    </row>
    <row r="29" customFormat="false" ht="48" hidden="false" customHeight="true" outlineLevel="0" collapsed="false">
      <c r="B29" s="9" t="n">
        <v>21</v>
      </c>
      <c r="C29" s="10" t="s">
        <v>107</v>
      </c>
      <c r="D29" s="10" t="s">
        <v>117</v>
      </c>
      <c r="E29" s="10" t="s">
        <v>118</v>
      </c>
      <c r="F29" s="11" t="s">
        <v>29</v>
      </c>
      <c r="G29" s="10" t="s">
        <v>30</v>
      </c>
      <c r="H29" s="10" t="s">
        <v>31</v>
      </c>
      <c r="I29" s="10" t="s">
        <v>110</v>
      </c>
      <c r="J29" s="10" t="s">
        <v>119</v>
      </c>
      <c r="K29" s="10"/>
      <c r="L29" s="12"/>
      <c r="M29" s="13" t="s">
        <v>120</v>
      </c>
    </row>
    <row r="30" customFormat="false" ht="25.5" hidden="false" customHeight="true" outlineLevel="0" collapsed="false">
      <c r="B30" s="9" t="n">
        <v>22</v>
      </c>
      <c r="C30" s="10" t="s">
        <v>121</v>
      </c>
      <c r="D30" s="10" t="s">
        <v>122</v>
      </c>
      <c r="E30" s="10" t="s">
        <v>59</v>
      </c>
      <c r="F30" s="11" t="s">
        <v>29</v>
      </c>
      <c r="G30" s="10" t="s">
        <v>30</v>
      </c>
      <c r="H30" s="10" t="s">
        <v>31</v>
      </c>
      <c r="I30" s="10" t="s">
        <v>123</v>
      </c>
      <c r="J30" s="10" t="s">
        <v>124</v>
      </c>
      <c r="K30" s="10"/>
      <c r="L30" s="12"/>
      <c r="M30" s="13" t="s">
        <v>125</v>
      </c>
    </row>
    <row r="31" customFormat="false" ht="33.75" hidden="false" customHeight="true" outlineLevel="0" collapsed="false">
      <c r="B31" s="9" t="n">
        <v>23</v>
      </c>
      <c r="C31" s="10" t="s">
        <v>121</v>
      </c>
      <c r="D31" s="10" t="s">
        <v>126</v>
      </c>
      <c r="E31" s="10" t="s">
        <v>127</v>
      </c>
      <c r="F31" s="11" t="s">
        <v>29</v>
      </c>
      <c r="G31" s="10" t="s">
        <v>30</v>
      </c>
      <c r="H31" s="10" t="s">
        <v>31</v>
      </c>
      <c r="I31" s="10" t="s">
        <v>123</v>
      </c>
      <c r="J31" s="10" t="s">
        <v>128</v>
      </c>
      <c r="K31" s="10"/>
      <c r="L31" s="12"/>
      <c r="M31" s="13" t="s">
        <v>125</v>
      </c>
    </row>
    <row r="32" customFormat="false" ht="33.75" hidden="false" customHeight="true" outlineLevel="0" collapsed="false">
      <c r="B32" s="9" t="n">
        <v>24</v>
      </c>
      <c r="C32" s="10" t="s">
        <v>121</v>
      </c>
      <c r="D32" s="10" t="s">
        <v>129</v>
      </c>
      <c r="E32" s="10" t="s">
        <v>130</v>
      </c>
      <c r="F32" s="11" t="s">
        <v>29</v>
      </c>
      <c r="G32" s="10" t="s">
        <v>51</v>
      </c>
      <c r="H32" s="10" t="s">
        <v>31</v>
      </c>
      <c r="I32" s="10" t="s">
        <v>123</v>
      </c>
      <c r="J32" s="10" t="s">
        <v>131</v>
      </c>
      <c r="K32" s="10"/>
      <c r="L32" s="12"/>
      <c r="M32" s="13" t="s">
        <v>125</v>
      </c>
    </row>
    <row r="33" customFormat="false" ht="33.75" hidden="false" customHeight="true" outlineLevel="0" collapsed="false">
      <c r="B33" s="9" t="n">
        <v>25</v>
      </c>
      <c r="C33" s="10" t="s">
        <v>121</v>
      </c>
      <c r="D33" s="10" t="s">
        <v>132</v>
      </c>
      <c r="E33" s="10" t="s">
        <v>133</v>
      </c>
      <c r="F33" s="11" t="s">
        <v>29</v>
      </c>
      <c r="G33" s="10" t="s">
        <v>30</v>
      </c>
      <c r="H33" s="10" t="s">
        <v>31</v>
      </c>
      <c r="I33" s="10" t="s">
        <v>123</v>
      </c>
      <c r="J33" s="10" t="s">
        <v>134</v>
      </c>
      <c r="K33" s="10"/>
      <c r="L33" s="12"/>
      <c r="M33" s="13" t="s">
        <v>125</v>
      </c>
    </row>
    <row r="34" customFormat="false" ht="33.75" hidden="false" customHeight="true" outlineLevel="0" collapsed="false">
      <c r="B34" s="9" t="n">
        <v>26</v>
      </c>
      <c r="C34" s="10" t="s">
        <v>121</v>
      </c>
      <c r="D34" s="10" t="s">
        <v>135</v>
      </c>
      <c r="E34" s="10" t="s">
        <v>136</v>
      </c>
      <c r="F34" s="11" t="s">
        <v>29</v>
      </c>
      <c r="G34" s="10" t="s">
        <v>30</v>
      </c>
      <c r="H34" s="10" t="s">
        <v>31</v>
      </c>
      <c r="I34" s="10" t="s">
        <v>123</v>
      </c>
      <c r="J34" s="10" t="s">
        <v>137</v>
      </c>
      <c r="K34" s="10"/>
      <c r="L34" s="12"/>
      <c r="M34" s="13" t="s">
        <v>138</v>
      </c>
    </row>
    <row r="35" customFormat="false" ht="33.75" hidden="false" customHeight="true" outlineLevel="0" collapsed="false">
      <c r="B35" s="9" t="n">
        <v>27</v>
      </c>
      <c r="C35" s="10" t="s">
        <v>121</v>
      </c>
      <c r="D35" s="10" t="s">
        <v>139</v>
      </c>
      <c r="E35" s="10" t="s">
        <v>140</v>
      </c>
      <c r="F35" s="11" t="s">
        <v>29</v>
      </c>
      <c r="G35" s="10" t="s">
        <v>51</v>
      </c>
      <c r="H35" s="10" t="s">
        <v>31</v>
      </c>
      <c r="I35" s="10" t="s">
        <v>123</v>
      </c>
      <c r="J35" s="10" t="s">
        <v>141</v>
      </c>
      <c r="K35" s="10"/>
      <c r="L35" s="12"/>
      <c r="M35" s="13" t="s">
        <v>138</v>
      </c>
    </row>
    <row r="36" customFormat="false" ht="33.75" hidden="false" customHeight="true" outlineLevel="0" collapsed="false">
      <c r="B36" s="9" t="n">
        <v>28</v>
      </c>
      <c r="C36" s="10" t="s">
        <v>121</v>
      </c>
      <c r="D36" s="10" t="s">
        <v>142</v>
      </c>
      <c r="E36" s="10" t="s">
        <v>143</v>
      </c>
      <c r="F36" s="11" t="s">
        <v>29</v>
      </c>
      <c r="G36" s="10" t="s">
        <v>51</v>
      </c>
      <c r="H36" s="10" t="s">
        <v>31</v>
      </c>
      <c r="I36" s="10" t="s">
        <v>123</v>
      </c>
      <c r="J36" s="10" t="s">
        <v>144</v>
      </c>
      <c r="K36" s="10"/>
      <c r="L36" s="12"/>
      <c r="M36" s="13" t="s">
        <v>145</v>
      </c>
    </row>
    <row r="37" customFormat="false" ht="33.75" hidden="false" customHeight="true" outlineLevel="0" collapsed="false">
      <c r="B37" s="9" t="n">
        <v>29</v>
      </c>
      <c r="C37" s="10" t="s">
        <v>121</v>
      </c>
      <c r="D37" s="10" t="s">
        <v>146</v>
      </c>
      <c r="E37" s="10" t="s">
        <v>147</v>
      </c>
      <c r="F37" s="11" t="s">
        <v>29</v>
      </c>
      <c r="G37" s="10" t="s">
        <v>51</v>
      </c>
      <c r="H37" s="10" t="s">
        <v>31</v>
      </c>
      <c r="I37" s="10" t="s">
        <v>123</v>
      </c>
      <c r="J37" s="10" t="s">
        <v>148</v>
      </c>
      <c r="K37" s="10"/>
      <c r="L37" s="12"/>
      <c r="M37" s="13" t="s">
        <v>149</v>
      </c>
    </row>
    <row r="38" customFormat="false" ht="33.75" hidden="false" customHeight="true" outlineLevel="0" collapsed="false">
      <c r="B38" s="9" t="n">
        <v>30</v>
      </c>
      <c r="C38" s="10" t="s">
        <v>121</v>
      </c>
      <c r="D38" s="10" t="s">
        <v>150</v>
      </c>
      <c r="E38" s="10" t="s">
        <v>151</v>
      </c>
      <c r="F38" s="11" t="s">
        <v>29</v>
      </c>
      <c r="G38" s="10" t="s">
        <v>51</v>
      </c>
      <c r="H38" s="10" t="s">
        <v>31</v>
      </c>
      <c r="I38" s="10" t="s">
        <v>123</v>
      </c>
      <c r="J38" s="10" t="s">
        <v>152</v>
      </c>
      <c r="K38" s="10"/>
      <c r="L38" s="12"/>
      <c r="M38" s="13" t="s">
        <v>153</v>
      </c>
    </row>
    <row r="39" customFormat="false" ht="33.75" hidden="false" customHeight="true" outlineLevel="0" collapsed="false">
      <c r="B39" s="9" t="n">
        <v>31</v>
      </c>
      <c r="C39" s="10" t="s">
        <v>121</v>
      </c>
      <c r="D39" s="10" t="s">
        <v>154</v>
      </c>
      <c r="E39" s="10" t="s">
        <v>155</v>
      </c>
      <c r="F39" s="11" t="s">
        <v>29</v>
      </c>
      <c r="G39" s="10" t="s">
        <v>156</v>
      </c>
      <c r="H39" s="10" t="s">
        <v>31</v>
      </c>
      <c r="I39" s="10" t="s">
        <v>157</v>
      </c>
      <c r="J39" s="10" t="s">
        <v>158</v>
      </c>
      <c r="K39" s="10" t="s">
        <v>159</v>
      </c>
      <c r="L39" s="12"/>
      <c r="M39" s="13" t="s">
        <v>160</v>
      </c>
    </row>
    <row r="40" customFormat="false" ht="25.5" hidden="false" customHeight="true" outlineLevel="0" collapsed="false">
      <c r="B40" s="9" t="n">
        <v>32</v>
      </c>
      <c r="C40" s="10" t="s">
        <v>121</v>
      </c>
      <c r="D40" s="10" t="s">
        <v>161</v>
      </c>
      <c r="E40" s="10" t="s">
        <v>162</v>
      </c>
      <c r="F40" s="11" t="s">
        <v>29</v>
      </c>
      <c r="G40" s="10" t="s">
        <v>30</v>
      </c>
      <c r="H40" s="10" t="s">
        <v>31</v>
      </c>
      <c r="I40" s="10" t="s">
        <v>123</v>
      </c>
      <c r="J40" s="10" t="s">
        <v>163</v>
      </c>
      <c r="K40" s="10"/>
      <c r="L40" s="12"/>
      <c r="M40" s="13" t="s">
        <v>125</v>
      </c>
    </row>
    <row r="41" customFormat="false" ht="33.75" hidden="false" customHeight="true" outlineLevel="0" collapsed="false">
      <c r="B41" s="9" t="n">
        <v>33</v>
      </c>
      <c r="C41" s="10" t="s">
        <v>121</v>
      </c>
      <c r="D41" s="10" t="s">
        <v>164</v>
      </c>
      <c r="E41" s="10" t="s">
        <v>165</v>
      </c>
      <c r="F41" s="11" t="s">
        <v>29</v>
      </c>
      <c r="G41" s="10" t="s">
        <v>83</v>
      </c>
      <c r="H41" s="10" t="s">
        <v>31</v>
      </c>
      <c r="I41" s="10" t="s">
        <v>166</v>
      </c>
      <c r="J41" s="10" t="s">
        <v>167</v>
      </c>
      <c r="K41" s="10"/>
      <c r="L41" s="12"/>
      <c r="M41" s="13" t="s">
        <v>168</v>
      </c>
    </row>
    <row r="42" customFormat="false" ht="33.75" hidden="false" customHeight="true" outlineLevel="0" collapsed="false">
      <c r="B42" s="9" t="n">
        <v>34</v>
      </c>
      <c r="C42" s="10" t="s">
        <v>121</v>
      </c>
      <c r="D42" s="10" t="s">
        <v>169</v>
      </c>
      <c r="E42" s="10" t="s">
        <v>170</v>
      </c>
      <c r="F42" s="11" t="s">
        <v>29</v>
      </c>
      <c r="G42" s="10" t="s">
        <v>171</v>
      </c>
      <c r="H42" s="10" t="s">
        <v>31</v>
      </c>
      <c r="I42" s="10" t="s">
        <v>172</v>
      </c>
      <c r="J42" s="10" t="s">
        <v>173</v>
      </c>
      <c r="K42" s="10"/>
      <c r="L42" s="12"/>
      <c r="M42" s="13" t="s">
        <v>174</v>
      </c>
    </row>
    <row r="43" customFormat="false" ht="33.75" hidden="false" customHeight="true" outlineLevel="0" collapsed="false">
      <c r="B43" s="9" t="n">
        <v>35</v>
      </c>
      <c r="C43" s="10" t="s">
        <v>175</v>
      </c>
      <c r="D43" s="10" t="s">
        <v>176</v>
      </c>
      <c r="E43" s="10" t="s">
        <v>59</v>
      </c>
      <c r="F43" s="11" t="s">
        <v>29</v>
      </c>
      <c r="G43" s="10" t="s">
        <v>177</v>
      </c>
      <c r="H43" s="10" t="s">
        <v>31</v>
      </c>
      <c r="I43" s="10" t="s">
        <v>178</v>
      </c>
      <c r="J43" s="10" t="s">
        <v>179</v>
      </c>
      <c r="K43" s="10"/>
      <c r="L43" s="12"/>
      <c r="M43" s="13" t="s">
        <v>125</v>
      </c>
    </row>
    <row r="44" customFormat="false" ht="33.75" hidden="false" customHeight="true" outlineLevel="0" collapsed="false">
      <c r="B44" s="9" t="n">
        <v>36</v>
      </c>
      <c r="C44" s="10" t="s">
        <v>180</v>
      </c>
      <c r="D44" s="10" t="s">
        <v>181</v>
      </c>
      <c r="E44" s="10" t="s">
        <v>182</v>
      </c>
      <c r="F44" s="11" t="s">
        <v>29</v>
      </c>
      <c r="G44" s="10" t="s">
        <v>30</v>
      </c>
      <c r="H44" s="10" t="s">
        <v>31</v>
      </c>
      <c r="I44" s="10" t="s">
        <v>183</v>
      </c>
      <c r="J44" s="10" t="s">
        <v>184</v>
      </c>
      <c r="K44" s="10"/>
      <c r="L44" s="12"/>
      <c r="M44" s="13" t="s">
        <v>112</v>
      </c>
    </row>
    <row r="45" customFormat="false" ht="33.75" hidden="false" customHeight="true" outlineLevel="0" collapsed="false">
      <c r="B45" s="9" t="n">
        <v>37</v>
      </c>
      <c r="C45" s="10" t="s">
        <v>180</v>
      </c>
      <c r="D45" s="10" t="s">
        <v>185</v>
      </c>
      <c r="E45" s="10" t="s">
        <v>186</v>
      </c>
      <c r="F45" s="11" t="s">
        <v>29</v>
      </c>
      <c r="G45" s="10" t="s">
        <v>30</v>
      </c>
      <c r="H45" s="10" t="s">
        <v>31</v>
      </c>
      <c r="I45" s="10" t="s">
        <v>187</v>
      </c>
      <c r="J45" s="10" t="s">
        <v>188</v>
      </c>
      <c r="K45" s="10"/>
      <c r="L45" s="12"/>
      <c r="M45" s="13" t="s">
        <v>189</v>
      </c>
    </row>
    <row r="46" customFormat="false" ht="33.75" hidden="false" customHeight="true" outlineLevel="0" collapsed="false">
      <c r="B46" s="9" t="n">
        <v>38</v>
      </c>
      <c r="C46" s="10" t="s">
        <v>190</v>
      </c>
      <c r="D46" s="10" t="s">
        <v>191</v>
      </c>
      <c r="E46" s="10" t="s">
        <v>59</v>
      </c>
      <c r="F46" s="11" t="s">
        <v>29</v>
      </c>
      <c r="G46" s="10" t="s">
        <v>171</v>
      </c>
      <c r="H46" s="10" t="s">
        <v>31</v>
      </c>
      <c r="I46" s="10" t="s">
        <v>172</v>
      </c>
      <c r="J46" s="10" t="s">
        <v>192</v>
      </c>
      <c r="K46" s="10"/>
      <c r="L46" s="12"/>
      <c r="M46" s="13" t="s">
        <v>145</v>
      </c>
    </row>
    <row r="47" customFormat="false" ht="33.75" hidden="false" customHeight="true" outlineLevel="0" collapsed="false">
      <c r="B47" s="9" t="n">
        <v>39</v>
      </c>
      <c r="C47" s="10" t="s">
        <v>190</v>
      </c>
      <c r="D47" s="10" t="s">
        <v>193</v>
      </c>
      <c r="E47" s="10" t="s">
        <v>59</v>
      </c>
      <c r="F47" s="11" t="s">
        <v>29</v>
      </c>
      <c r="G47" s="10" t="s">
        <v>171</v>
      </c>
      <c r="H47" s="10" t="s">
        <v>31</v>
      </c>
      <c r="I47" s="10" t="s">
        <v>194</v>
      </c>
      <c r="J47" s="10" t="s">
        <v>195</v>
      </c>
      <c r="K47" s="10"/>
      <c r="L47" s="12"/>
      <c r="M47" s="13" t="s">
        <v>196</v>
      </c>
    </row>
    <row r="48" customFormat="false" ht="61.5" hidden="false" customHeight="true" outlineLevel="0" collapsed="false">
      <c r="B48" s="9" t="n">
        <v>40</v>
      </c>
      <c r="C48" s="10" t="s">
        <v>190</v>
      </c>
      <c r="D48" s="10" t="s">
        <v>197</v>
      </c>
      <c r="E48" s="10" t="s">
        <v>198</v>
      </c>
      <c r="F48" s="11" t="s">
        <v>29</v>
      </c>
      <c r="G48" s="10" t="s">
        <v>199</v>
      </c>
      <c r="H48" s="10" t="s">
        <v>31</v>
      </c>
      <c r="I48" s="10" t="s">
        <v>200</v>
      </c>
      <c r="J48" s="10" t="s">
        <v>201</v>
      </c>
      <c r="K48" s="10"/>
      <c r="L48" s="12"/>
      <c r="M48" s="13" t="s">
        <v>31</v>
      </c>
    </row>
    <row r="49" customFormat="false" ht="33.75" hidden="false" customHeight="true" outlineLevel="0" collapsed="false">
      <c r="B49" s="9" t="n">
        <v>41</v>
      </c>
      <c r="C49" s="10" t="s">
        <v>202</v>
      </c>
      <c r="D49" s="10" t="s">
        <v>203</v>
      </c>
      <c r="E49" s="10" t="s">
        <v>204</v>
      </c>
      <c r="F49" s="11" t="s">
        <v>29</v>
      </c>
      <c r="G49" s="10" t="s">
        <v>205</v>
      </c>
      <c r="H49" s="10" t="s">
        <v>206</v>
      </c>
      <c r="I49" s="10" t="s">
        <v>207</v>
      </c>
      <c r="J49" s="10" t="s">
        <v>208</v>
      </c>
      <c r="K49" s="10"/>
      <c r="L49" s="12"/>
      <c r="M49" s="13" t="s">
        <v>153</v>
      </c>
    </row>
    <row r="50" customFormat="false" ht="33.75" hidden="false" customHeight="true" outlineLevel="0" collapsed="false">
      <c r="B50" s="9" t="n">
        <v>42</v>
      </c>
      <c r="C50" s="10" t="s">
        <v>202</v>
      </c>
      <c r="D50" s="10" t="s">
        <v>209</v>
      </c>
      <c r="E50" s="10" t="s">
        <v>210</v>
      </c>
      <c r="F50" s="11" t="s">
        <v>29</v>
      </c>
      <c r="G50" s="10" t="s">
        <v>171</v>
      </c>
      <c r="H50" s="10" t="s">
        <v>206</v>
      </c>
      <c r="I50" s="10" t="s">
        <v>211</v>
      </c>
      <c r="J50" s="10" t="s">
        <v>212</v>
      </c>
      <c r="K50" s="10"/>
      <c r="L50" s="12"/>
      <c r="M50" s="13" t="s">
        <v>153</v>
      </c>
    </row>
    <row r="51" customFormat="false" ht="33.75" hidden="false" customHeight="true" outlineLevel="0" collapsed="false">
      <c r="B51" s="9" t="n">
        <v>43</v>
      </c>
      <c r="C51" s="10" t="s">
        <v>202</v>
      </c>
      <c r="D51" s="10" t="s">
        <v>213</v>
      </c>
      <c r="E51" s="10" t="s">
        <v>59</v>
      </c>
      <c r="F51" s="11" t="s">
        <v>29</v>
      </c>
      <c r="G51" s="10" t="s">
        <v>214</v>
      </c>
      <c r="H51" s="10" t="s">
        <v>206</v>
      </c>
      <c r="I51" s="10" t="s">
        <v>215</v>
      </c>
      <c r="J51" s="10" t="s">
        <v>216</v>
      </c>
      <c r="K51" s="10"/>
      <c r="L51" s="12"/>
      <c r="M51" s="13" t="s">
        <v>217</v>
      </c>
    </row>
    <row r="52" customFormat="false" ht="132" hidden="false" customHeight="true" outlineLevel="0" collapsed="false">
      <c r="B52" s="9" t="n">
        <v>44</v>
      </c>
      <c r="C52" s="10" t="s">
        <v>202</v>
      </c>
      <c r="D52" s="10" t="s">
        <v>218</v>
      </c>
      <c r="E52" s="10" t="s">
        <v>219</v>
      </c>
      <c r="F52" s="11" t="s">
        <v>29</v>
      </c>
      <c r="G52" s="10" t="s">
        <v>205</v>
      </c>
      <c r="H52" s="10" t="s">
        <v>206</v>
      </c>
      <c r="I52" s="10" t="s">
        <v>220</v>
      </c>
      <c r="J52" s="10" t="s">
        <v>221</v>
      </c>
      <c r="K52" s="10" t="s">
        <v>222</v>
      </c>
      <c r="L52" s="12"/>
      <c r="M52" s="13" t="s">
        <v>153</v>
      </c>
    </row>
    <row r="53" customFormat="false" ht="48" hidden="false" customHeight="true" outlineLevel="0" collapsed="false">
      <c r="B53" s="9" t="n">
        <v>45</v>
      </c>
      <c r="C53" s="10" t="s">
        <v>202</v>
      </c>
      <c r="D53" s="10" t="s">
        <v>223</v>
      </c>
      <c r="E53" s="10" t="s">
        <v>59</v>
      </c>
      <c r="F53" s="11" t="s">
        <v>29</v>
      </c>
      <c r="G53" s="10" t="s">
        <v>171</v>
      </c>
      <c r="H53" s="10" t="s">
        <v>31</v>
      </c>
      <c r="I53" s="10" t="s">
        <v>172</v>
      </c>
      <c r="J53" s="10" t="s">
        <v>224</v>
      </c>
      <c r="K53" s="10"/>
      <c r="L53" s="12"/>
      <c r="M53" s="13" t="s">
        <v>225</v>
      </c>
    </row>
    <row r="54" customFormat="false" ht="33.75" hidden="false" customHeight="true" outlineLevel="0" collapsed="false">
      <c r="B54" s="9" t="n">
        <v>46</v>
      </c>
      <c r="C54" s="10" t="s">
        <v>202</v>
      </c>
      <c r="D54" s="10" t="s">
        <v>226</v>
      </c>
      <c r="E54" s="10" t="s">
        <v>59</v>
      </c>
      <c r="F54" s="11" t="s">
        <v>29</v>
      </c>
      <c r="G54" s="10" t="s">
        <v>205</v>
      </c>
      <c r="H54" s="10" t="s">
        <v>206</v>
      </c>
      <c r="I54" s="10" t="s">
        <v>227</v>
      </c>
      <c r="J54" s="10" t="s">
        <v>228</v>
      </c>
      <c r="K54" s="10"/>
      <c r="L54" s="12"/>
      <c r="M54" s="13" t="s">
        <v>189</v>
      </c>
    </row>
    <row r="55" customFormat="false" ht="33.75" hidden="false" customHeight="true" outlineLevel="0" collapsed="false">
      <c r="B55" s="9" t="n">
        <v>47</v>
      </c>
      <c r="C55" s="10" t="s">
        <v>202</v>
      </c>
      <c r="D55" s="10" t="s">
        <v>229</v>
      </c>
      <c r="E55" s="10" t="s">
        <v>59</v>
      </c>
      <c r="F55" s="11" t="s">
        <v>29</v>
      </c>
      <c r="G55" s="10" t="s">
        <v>171</v>
      </c>
      <c r="H55" s="10" t="s">
        <v>206</v>
      </c>
      <c r="I55" s="10" t="s">
        <v>211</v>
      </c>
      <c r="J55" s="10" t="s">
        <v>230</v>
      </c>
      <c r="K55" s="10"/>
      <c r="L55" s="12"/>
      <c r="M55" s="13" t="s">
        <v>231</v>
      </c>
    </row>
    <row r="56" customFormat="false" ht="48" hidden="false" customHeight="true" outlineLevel="0" collapsed="false">
      <c r="B56" s="9" t="n">
        <v>48</v>
      </c>
      <c r="C56" s="10" t="s">
        <v>232</v>
      </c>
      <c r="D56" s="10" t="s">
        <v>233</v>
      </c>
      <c r="E56" s="10" t="s">
        <v>234</v>
      </c>
      <c r="F56" s="11" t="s">
        <v>29</v>
      </c>
      <c r="G56" s="10" t="s">
        <v>235</v>
      </c>
      <c r="H56" s="10" t="s">
        <v>206</v>
      </c>
      <c r="I56" s="10" t="s">
        <v>236</v>
      </c>
      <c r="J56" s="10" t="s">
        <v>237</v>
      </c>
      <c r="K56" s="10"/>
      <c r="L56" s="12"/>
      <c r="M56" s="13" t="s">
        <v>238</v>
      </c>
    </row>
    <row r="57" customFormat="false" ht="103.5" hidden="false" customHeight="true" outlineLevel="0" collapsed="false">
      <c r="B57" s="9" t="n">
        <v>49</v>
      </c>
      <c r="C57" s="10" t="s">
        <v>232</v>
      </c>
      <c r="D57" s="10" t="s">
        <v>239</v>
      </c>
      <c r="E57" s="10" t="s">
        <v>240</v>
      </c>
      <c r="F57" s="11" t="s">
        <v>29</v>
      </c>
      <c r="G57" s="10" t="s">
        <v>205</v>
      </c>
      <c r="H57" s="10" t="s">
        <v>206</v>
      </c>
      <c r="I57" s="10" t="s">
        <v>241</v>
      </c>
      <c r="J57" s="10" t="s">
        <v>242</v>
      </c>
      <c r="K57" s="10" t="s">
        <v>243</v>
      </c>
      <c r="L57" s="12"/>
      <c r="M57" s="13" t="s">
        <v>244</v>
      </c>
    </row>
    <row r="58" customFormat="false" ht="48" hidden="false" customHeight="true" outlineLevel="0" collapsed="false">
      <c r="B58" s="9" t="n">
        <v>50</v>
      </c>
      <c r="C58" s="10" t="s">
        <v>232</v>
      </c>
      <c r="D58" s="10" t="s">
        <v>245</v>
      </c>
      <c r="E58" s="10" t="s">
        <v>246</v>
      </c>
      <c r="F58" s="11" t="s">
        <v>29</v>
      </c>
      <c r="G58" s="10" t="s">
        <v>205</v>
      </c>
      <c r="H58" s="10" t="s">
        <v>206</v>
      </c>
      <c r="I58" s="10" t="s">
        <v>247</v>
      </c>
      <c r="J58" s="10" t="s">
        <v>248</v>
      </c>
      <c r="K58" s="10"/>
      <c r="L58" s="12"/>
      <c r="M58" s="13" t="s">
        <v>249</v>
      </c>
    </row>
    <row r="59" customFormat="false" ht="48" hidden="false" customHeight="true" outlineLevel="0" collapsed="false">
      <c r="B59" s="9" t="n">
        <v>51</v>
      </c>
      <c r="C59" s="10" t="s">
        <v>232</v>
      </c>
      <c r="D59" s="10" t="s">
        <v>250</v>
      </c>
      <c r="E59" s="10" t="s">
        <v>251</v>
      </c>
      <c r="F59" s="11" t="s">
        <v>29</v>
      </c>
      <c r="G59" s="10" t="s">
        <v>171</v>
      </c>
      <c r="H59" s="10" t="s">
        <v>31</v>
      </c>
      <c r="I59" s="10" t="s">
        <v>172</v>
      </c>
      <c r="J59" s="10" t="s">
        <v>252</v>
      </c>
      <c r="K59" s="10"/>
      <c r="L59" s="12"/>
      <c r="M59" s="13" t="s">
        <v>253</v>
      </c>
    </row>
    <row r="60" customFormat="false" ht="33.75" hidden="false" customHeight="true" outlineLevel="0" collapsed="false">
      <c r="B60" s="9" t="n">
        <v>52</v>
      </c>
      <c r="C60" s="10" t="s">
        <v>232</v>
      </c>
      <c r="D60" s="10" t="s">
        <v>254</v>
      </c>
      <c r="E60" s="10" t="s">
        <v>59</v>
      </c>
      <c r="F60" s="11" t="s">
        <v>29</v>
      </c>
      <c r="G60" s="10" t="s">
        <v>171</v>
      </c>
      <c r="H60" s="10" t="s">
        <v>206</v>
      </c>
      <c r="I60" s="10" t="s">
        <v>255</v>
      </c>
      <c r="J60" s="10" t="s">
        <v>256</v>
      </c>
      <c r="K60" s="10"/>
      <c r="L60" s="12"/>
      <c r="M60" s="13" t="s">
        <v>249</v>
      </c>
    </row>
    <row r="61" customFormat="false" ht="33.75" hidden="false" customHeight="true" outlineLevel="0" collapsed="false">
      <c r="B61" s="9" t="n">
        <v>53</v>
      </c>
      <c r="C61" s="10" t="s">
        <v>232</v>
      </c>
      <c r="D61" s="10" t="s">
        <v>257</v>
      </c>
      <c r="E61" s="10" t="s">
        <v>59</v>
      </c>
      <c r="F61" s="11" t="s">
        <v>29</v>
      </c>
      <c r="G61" s="10" t="s">
        <v>235</v>
      </c>
      <c r="H61" s="10" t="s">
        <v>206</v>
      </c>
      <c r="I61" s="10" t="s">
        <v>258</v>
      </c>
      <c r="J61" s="10" t="s">
        <v>259</v>
      </c>
      <c r="K61" s="10"/>
      <c r="L61" s="12"/>
      <c r="M61" s="13"/>
    </row>
    <row r="62" customFormat="false" ht="159.75" hidden="false" customHeight="true" outlineLevel="0" collapsed="false">
      <c r="B62" s="9" t="n">
        <v>54</v>
      </c>
      <c r="C62" s="10" t="s">
        <v>232</v>
      </c>
      <c r="D62" s="10" t="s">
        <v>260</v>
      </c>
      <c r="E62" s="10" t="s">
        <v>261</v>
      </c>
      <c r="F62" s="11" t="s">
        <v>29</v>
      </c>
      <c r="G62" s="10" t="s">
        <v>205</v>
      </c>
      <c r="H62" s="10" t="s">
        <v>206</v>
      </c>
      <c r="I62" s="10" t="s">
        <v>262</v>
      </c>
      <c r="J62" s="10" t="s">
        <v>263</v>
      </c>
      <c r="K62" s="10"/>
      <c r="L62" s="12"/>
      <c r="M62" s="13" t="s">
        <v>253</v>
      </c>
    </row>
    <row r="63" customFormat="false" ht="48" hidden="false" customHeight="true" outlineLevel="0" collapsed="false">
      <c r="B63" s="9" t="n">
        <v>55</v>
      </c>
      <c r="C63" s="10" t="s">
        <v>264</v>
      </c>
      <c r="D63" s="10" t="s">
        <v>265</v>
      </c>
      <c r="E63" s="10" t="s">
        <v>266</v>
      </c>
      <c r="F63" s="11" t="s">
        <v>29</v>
      </c>
      <c r="G63" s="10" t="s">
        <v>205</v>
      </c>
      <c r="H63" s="10" t="s">
        <v>206</v>
      </c>
      <c r="I63" s="10" t="s">
        <v>267</v>
      </c>
      <c r="J63" s="10" t="s">
        <v>268</v>
      </c>
      <c r="K63" s="10"/>
      <c r="L63" s="12"/>
      <c r="M63" s="13" t="s">
        <v>269</v>
      </c>
    </row>
    <row r="64" customFormat="false" ht="48" hidden="false" customHeight="true" outlineLevel="0" collapsed="false">
      <c r="B64" s="9" t="n">
        <v>56</v>
      </c>
      <c r="C64" s="10" t="s">
        <v>270</v>
      </c>
      <c r="D64" s="10" t="s">
        <v>271</v>
      </c>
      <c r="E64" s="10" t="s">
        <v>59</v>
      </c>
      <c r="F64" s="11" t="s">
        <v>29</v>
      </c>
      <c r="G64" s="10" t="s">
        <v>171</v>
      </c>
      <c r="H64" s="10" t="s">
        <v>31</v>
      </c>
      <c r="I64" s="10" t="s">
        <v>172</v>
      </c>
      <c r="J64" s="10" t="s">
        <v>272</v>
      </c>
      <c r="K64" s="10" t="s">
        <v>273</v>
      </c>
      <c r="L64" s="12"/>
      <c r="M64" s="13" t="s">
        <v>274</v>
      </c>
    </row>
    <row r="65" customFormat="false" ht="25.5" hidden="false" customHeight="true" outlineLevel="0" collapsed="false">
      <c r="B65" s="9" t="n">
        <v>57</v>
      </c>
      <c r="C65" s="10" t="s">
        <v>270</v>
      </c>
      <c r="D65" s="10" t="s">
        <v>275</v>
      </c>
      <c r="E65" s="10" t="s">
        <v>59</v>
      </c>
      <c r="F65" s="11" t="s">
        <v>29</v>
      </c>
      <c r="G65" s="10" t="s">
        <v>171</v>
      </c>
      <c r="H65" s="10" t="s">
        <v>31</v>
      </c>
      <c r="I65" s="10" t="s">
        <v>172</v>
      </c>
      <c r="J65" s="10" t="s">
        <v>276</v>
      </c>
      <c r="K65" s="10"/>
      <c r="L65" s="12"/>
      <c r="M65" s="13" t="s">
        <v>269</v>
      </c>
    </row>
    <row r="66" customFormat="false" ht="61.5" hidden="false" customHeight="true" outlineLevel="0" collapsed="false">
      <c r="B66" s="9" t="n">
        <v>58</v>
      </c>
      <c r="C66" s="10" t="s">
        <v>277</v>
      </c>
      <c r="D66" s="10" t="s">
        <v>278</v>
      </c>
      <c r="E66" s="10" t="s">
        <v>279</v>
      </c>
      <c r="F66" s="11" t="s">
        <v>29</v>
      </c>
      <c r="G66" s="10" t="s">
        <v>177</v>
      </c>
      <c r="H66" s="10" t="s">
        <v>206</v>
      </c>
      <c r="I66" s="10" t="s">
        <v>267</v>
      </c>
      <c r="J66" s="10" t="s">
        <v>280</v>
      </c>
      <c r="K66" s="10"/>
      <c r="L66" s="12"/>
      <c r="M66" s="13" t="s">
        <v>269</v>
      </c>
    </row>
    <row r="67" customFormat="false" ht="61.5" hidden="false" customHeight="true" outlineLevel="0" collapsed="false">
      <c r="B67" s="9" t="n">
        <v>59</v>
      </c>
      <c r="C67" s="10" t="s">
        <v>277</v>
      </c>
      <c r="D67" s="10" t="s">
        <v>281</v>
      </c>
      <c r="E67" s="10" t="s">
        <v>282</v>
      </c>
      <c r="F67" s="11" t="s">
        <v>29</v>
      </c>
      <c r="G67" s="10" t="s">
        <v>205</v>
      </c>
      <c r="H67" s="10" t="s">
        <v>206</v>
      </c>
      <c r="I67" s="10" t="s">
        <v>283</v>
      </c>
      <c r="J67" s="10" t="s">
        <v>284</v>
      </c>
      <c r="K67" s="10" t="s">
        <v>285</v>
      </c>
      <c r="L67" s="12"/>
      <c r="M67" s="13" t="s">
        <v>269</v>
      </c>
    </row>
    <row r="68" customFormat="false" ht="33.75" hidden="false" customHeight="true" outlineLevel="0" collapsed="false">
      <c r="B68" s="9" t="n">
        <v>60</v>
      </c>
      <c r="C68" s="10" t="s">
        <v>286</v>
      </c>
      <c r="D68" s="10" t="s">
        <v>287</v>
      </c>
      <c r="E68" s="10" t="s">
        <v>59</v>
      </c>
      <c r="F68" s="11" t="s">
        <v>29</v>
      </c>
      <c r="G68" s="10" t="s">
        <v>171</v>
      </c>
      <c r="H68" s="10" t="s">
        <v>206</v>
      </c>
      <c r="I68" s="10" t="s">
        <v>288</v>
      </c>
      <c r="J68" s="10" t="s">
        <v>289</v>
      </c>
      <c r="K68" s="10"/>
      <c r="L68" s="12"/>
      <c r="M68" s="13" t="s">
        <v>290</v>
      </c>
    </row>
    <row r="69" customFormat="false" ht="33.75" hidden="false" customHeight="true" outlineLevel="0" collapsed="false">
      <c r="B69" s="9" t="n">
        <v>61</v>
      </c>
      <c r="C69" s="10" t="s">
        <v>286</v>
      </c>
      <c r="D69" s="10" t="s">
        <v>291</v>
      </c>
      <c r="E69" s="10" t="s">
        <v>292</v>
      </c>
      <c r="F69" s="11" t="s">
        <v>29</v>
      </c>
      <c r="G69" s="10" t="s">
        <v>177</v>
      </c>
      <c r="H69" s="10" t="s">
        <v>206</v>
      </c>
      <c r="I69" s="10" t="s">
        <v>293</v>
      </c>
      <c r="J69" s="10" t="s">
        <v>294</v>
      </c>
      <c r="K69" s="10"/>
      <c r="L69" s="12"/>
      <c r="M69" s="13" t="s">
        <v>290</v>
      </c>
    </row>
    <row r="70" customFormat="false" ht="33.75" hidden="false" customHeight="true" outlineLevel="0" collapsed="false">
      <c r="B70" s="9" t="n">
        <v>62</v>
      </c>
      <c r="C70" s="10" t="s">
        <v>286</v>
      </c>
      <c r="D70" s="10" t="s">
        <v>295</v>
      </c>
      <c r="E70" s="10" t="s">
        <v>296</v>
      </c>
      <c r="F70" s="11" t="s">
        <v>297</v>
      </c>
      <c r="G70" s="10" t="s">
        <v>171</v>
      </c>
      <c r="H70" s="10" t="s">
        <v>206</v>
      </c>
      <c r="I70" s="10" t="s">
        <v>31</v>
      </c>
      <c r="J70" s="10" t="s">
        <v>31</v>
      </c>
      <c r="K70" s="10" t="s">
        <v>298</v>
      </c>
      <c r="L70" s="12"/>
      <c r="M70" s="13" t="s">
        <v>31</v>
      </c>
    </row>
    <row r="71" customFormat="false" ht="48" hidden="false" customHeight="true" outlineLevel="0" collapsed="false">
      <c r="B71" s="9" t="n">
        <v>63</v>
      </c>
      <c r="C71" s="10" t="s">
        <v>299</v>
      </c>
      <c r="D71" s="10" t="s">
        <v>300</v>
      </c>
      <c r="E71" s="10" t="s">
        <v>59</v>
      </c>
      <c r="F71" s="11" t="s">
        <v>29</v>
      </c>
      <c r="G71" s="10" t="s">
        <v>30</v>
      </c>
      <c r="H71" s="10" t="s">
        <v>31</v>
      </c>
      <c r="I71" s="10" t="s">
        <v>301</v>
      </c>
      <c r="J71" s="10" t="s">
        <v>302</v>
      </c>
      <c r="K71" s="10"/>
      <c r="L71" s="12"/>
      <c r="M71" s="13" t="s">
        <v>303</v>
      </c>
    </row>
    <row r="72" customFormat="false" ht="48" hidden="false" customHeight="true" outlineLevel="0" collapsed="false">
      <c r="B72" s="9" t="n">
        <v>64</v>
      </c>
      <c r="C72" s="10" t="s">
        <v>299</v>
      </c>
      <c r="D72" s="10" t="s">
        <v>304</v>
      </c>
      <c r="E72" s="10" t="s">
        <v>59</v>
      </c>
      <c r="F72" s="11" t="s">
        <v>29</v>
      </c>
      <c r="G72" s="10" t="s">
        <v>30</v>
      </c>
      <c r="H72" s="10" t="s">
        <v>31</v>
      </c>
      <c r="I72" s="10" t="s">
        <v>301</v>
      </c>
      <c r="J72" s="10" t="s">
        <v>305</v>
      </c>
      <c r="K72" s="10"/>
      <c r="L72" s="12"/>
      <c r="M72" s="13" t="s">
        <v>303</v>
      </c>
    </row>
    <row r="73" customFormat="false" ht="33.75" hidden="false" customHeight="true" outlineLevel="0" collapsed="false">
      <c r="B73" s="9" t="n">
        <v>65</v>
      </c>
      <c r="C73" s="10" t="s">
        <v>306</v>
      </c>
      <c r="D73" s="10" t="s">
        <v>307</v>
      </c>
      <c r="E73" s="10" t="s">
        <v>59</v>
      </c>
      <c r="F73" s="11" t="s">
        <v>29</v>
      </c>
      <c r="G73" s="10" t="s">
        <v>30</v>
      </c>
      <c r="H73" s="10" t="s">
        <v>31</v>
      </c>
      <c r="I73" s="10" t="s">
        <v>308</v>
      </c>
      <c r="J73" s="10" t="s">
        <v>111</v>
      </c>
      <c r="K73" s="10"/>
      <c r="L73" s="12"/>
      <c r="M73" s="13" t="s">
        <v>309</v>
      </c>
    </row>
    <row r="74" customFormat="false" ht="33.75" hidden="false" customHeight="true" outlineLevel="0" collapsed="false">
      <c r="B74" s="9" t="n">
        <v>66</v>
      </c>
      <c r="C74" s="10" t="s">
        <v>306</v>
      </c>
      <c r="D74" s="10" t="s">
        <v>310</v>
      </c>
      <c r="E74" s="10" t="s">
        <v>311</v>
      </c>
      <c r="F74" s="11" t="s">
        <v>29</v>
      </c>
      <c r="G74" s="10" t="s">
        <v>30</v>
      </c>
      <c r="H74" s="10" t="s">
        <v>31</v>
      </c>
      <c r="I74" s="10" t="s">
        <v>308</v>
      </c>
      <c r="J74" s="10" t="s">
        <v>312</v>
      </c>
      <c r="K74" s="10"/>
      <c r="L74" s="12"/>
      <c r="M74" s="13" t="s">
        <v>303</v>
      </c>
    </row>
    <row r="75" customFormat="false" ht="25.5" hidden="false" customHeight="true" outlineLevel="0" collapsed="false">
      <c r="B75" s="9" t="n">
        <v>67</v>
      </c>
      <c r="C75" s="10" t="s">
        <v>306</v>
      </c>
      <c r="D75" s="10" t="s">
        <v>313</v>
      </c>
      <c r="E75" s="10" t="s">
        <v>59</v>
      </c>
      <c r="F75" s="11" t="s">
        <v>29</v>
      </c>
      <c r="G75" s="10" t="s">
        <v>30</v>
      </c>
      <c r="H75" s="10" t="s">
        <v>31</v>
      </c>
      <c r="I75" s="10" t="s">
        <v>314</v>
      </c>
      <c r="J75" s="10" t="s">
        <v>315</v>
      </c>
      <c r="K75" s="10"/>
      <c r="L75" s="12"/>
      <c r="M75" s="13" t="s">
        <v>303</v>
      </c>
    </row>
    <row r="76" customFormat="false" ht="33.75" hidden="false" customHeight="true" outlineLevel="0" collapsed="false">
      <c r="B76" s="9" t="n">
        <v>68</v>
      </c>
      <c r="C76" s="10" t="s">
        <v>306</v>
      </c>
      <c r="D76" s="10" t="s">
        <v>316</v>
      </c>
      <c r="E76" s="10" t="s">
        <v>59</v>
      </c>
      <c r="F76" s="11" t="s">
        <v>29</v>
      </c>
      <c r="G76" s="10" t="s">
        <v>51</v>
      </c>
      <c r="H76" s="10" t="s">
        <v>31</v>
      </c>
      <c r="I76" s="10" t="s">
        <v>308</v>
      </c>
      <c r="J76" s="10" t="s">
        <v>317</v>
      </c>
      <c r="K76" s="10"/>
      <c r="L76" s="12"/>
      <c r="M76" s="13" t="s">
        <v>318</v>
      </c>
    </row>
    <row r="77" customFormat="false" ht="33.75" hidden="false" customHeight="true" outlineLevel="0" collapsed="false">
      <c r="B77" s="9" t="n">
        <v>69</v>
      </c>
      <c r="C77" s="10" t="s">
        <v>319</v>
      </c>
      <c r="D77" s="10" t="s">
        <v>320</v>
      </c>
      <c r="E77" s="10" t="s">
        <v>321</v>
      </c>
      <c r="F77" s="11" t="s">
        <v>29</v>
      </c>
      <c r="G77" s="10" t="s">
        <v>51</v>
      </c>
      <c r="H77" s="10" t="s">
        <v>31</v>
      </c>
      <c r="I77" s="10" t="s">
        <v>322</v>
      </c>
      <c r="J77" s="10" t="s">
        <v>323</v>
      </c>
      <c r="K77" s="10"/>
      <c r="L77" s="12"/>
      <c r="M77" s="13" t="s">
        <v>324</v>
      </c>
    </row>
    <row r="78" customFormat="false" ht="33.75" hidden="false" customHeight="true" outlineLevel="0" collapsed="false">
      <c r="B78" s="9" t="n">
        <v>70</v>
      </c>
      <c r="C78" s="10" t="s">
        <v>319</v>
      </c>
      <c r="D78" s="10" t="s">
        <v>325</v>
      </c>
      <c r="E78" s="10" t="s">
        <v>326</v>
      </c>
      <c r="F78" s="11" t="s">
        <v>29</v>
      </c>
      <c r="G78" s="10" t="s">
        <v>30</v>
      </c>
      <c r="H78" s="10" t="s">
        <v>31</v>
      </c>
      <c r="I78" s="10" t="s">
        <v>319</v>
      </c>
      <c r="J78" s="10" t="s">
        <v>111</v>
      </c>
      <c r="K78" s="10"/>
      <c r="L78" s="12"/>
      <c r="M78" s="13" t="s">
        <v>324</v>
      </c>
    </row>
    <row r="79" customFormat="false" ht="33.75" hidden="false" customHeight="true" outlineLevel="0" collapsed="false">
      <c r="B79" s="9" t="n">
        <v>71</v>
      </c>
      <c r="C79" s="10" t="s">
        <v>319</v>
      </c>
      <c r="D79" s="10" t="s">
        <v>327</v>
      </c>
      <c r="E79" s="10" t="s">
        <v>328</v>
      </c>
      <c r="F79" s="11" t="s">
        <v>29</v>
      </c>
      <c r="G79" s="10" t="s">
        <v>51</v>
      </c>
      <c r="H79" s="10" t="s">
        <v>31</v>
      </c>
      <c r="I79" s="10" t="s">
        <v>319</v>
      </c>
      <c r="J79" s="10" t="s">
        <v>329</v>
      </c>
      <c r="K79" s="10"/>
      <c r="L79" s="12"/>
      <c r="M79" s="13" t="s">
        <v>324</v>
      </c>
    </row>
    <row r="80" customFormat="false" ht="48" hidden="false" customHeight="true" outlineLevel="0" collapsed="false">
      <c r="B80" s="9" t="n">
        <v>72</v>
      </c>
      <c r="C80" s="10" t="s">
        <v>319</v>
      </c>
      <c r="D80" s="10" t="s">
        <v>330</v>
      </c>
      <c r="E80" s="10" t="s">
        <v>331</v>
      </c>
      <c r="F80" s="11" t="s">
        <v>29</v>
      </c>
      <c r="G80" s="10" t="s">
        <v>51</v>
      </c>
      <c r="H80" s="10" t="s">
        <v>31</v>
      </c>
      <c r="I80" s="10" t="s">
        <v>332</v>
      </c>
      <c r="J80" s="10" t="s">
        <v>333</v>
      </c>
      <c r="K80" s="10"/>
      <c r="L80" s="12"/>
      <c r="M80" s="13" t="s">
        <v>334</v>
      </c>
    </row>
    <row r="81" customFormat="false" ht="33.75" hidden="false" customHeight="true" outlineLevel="0" collapsed="false">
      <c r="B81" s="9" t="n">
        <v>73</v>
      </c>
      <c r="C81" s="10" t="s">
        <v>319</v>
      </c>
      <c r="D81" s="10" t="s">
        <v>335</v>
      </c>
      <c r="E81" s="10" t="s">
        <v>336</v>
      </c>
      <c r="F81" s="11" t="s">
        <v>29</v>
      </c>
      <c r="G81" s="10" t="s">
        <v>30</v>
      </c>
      <c r="H81" s="10" t="s">
        <v>31</v>
      </c>
      <c r="I81" s="10" t="s">
        <v>319</v>
      </c>
      <c r="J81" s="10" t="s">
        <v>337</v>
      </c>
      <c r="K81" s="10"/>
      <c r="L81" s="12"/>
      <c r="M81" s="13" t="s">
        <v>324</v>
      </c>
    </row>
    <row r="82" customFormat="false" ht="48" hidden="false" customHeight="true" outlineLevel="0" collapsed="false">
      <c r="B82" s="9" t="n">
        <v>74</v>
      </c>
      <c r="C82" s="10" t="s">
        <v>319</v>
      </c>
      <c r="D82" s="10" t="s">
        <v>338</v>
      </c>
      <c r="E82" s="10" t="s">
        <v>339</v>
      </c>
      <c r="F82" s="11" t="s">
        <v>29</v>
      </c>
      <c r="G82" s="10" t="s">
        <v>83</v>
      </c>
      <c r="H82" s="10" t="s">
        <v>31</v>
      </c>
      <c r="I82" s="10" t="s">
        <v>340</v>
      </c>
      <c r="J82" s="10" t="s">
        <v>341</v>
      </c>
      <c r="K82" s="10"/>
      <c r="L82" s="12"/>
      <c r="M82" s="13" t="s">
        <v>324</v>
      </c>
    </row>
    <row r="83" customFormat="false" ht="33.75" hidden="false" customHeight="true" outlineLevel="0" collapsed="false">
      <c r="B83" s="9" t="n">
        <v>75</v>
      </c>
      <c r="C83" s="10" t="s">
        <v>319</v>
      </c>
      <c r="D83" s="10" t="s">
        <v>342</v>
      </c>
      <c r="E83" s="10" t="s">
        <v>343</v>
      </c>
      <c r="F83" s="11" t="s">
        <v>29</v>
      </c>
      <c r="G83" s="10" t="s">
        <v>30</v>
      </c>
      <c r="H83" s="10" t="s">
        <v>31</v>
      </c>
      <c r="I83" s="10" t="s">
        <v>344</v>
      </c>
      <c r="J83" s="10" t="s">
        <v>345</v>
      </c>
      <c r="K83" s="10"/>
      <c r="L83" s="12"/>
      <c r="M83" s="13" t="s">
        <v>324</v>
      </c>
    </row>
    <row r="84" customFormat="false" ht="33.75" hidden="false" customHeight="true" outlineLevel="0" collapsed="false">
      <c r="B84" s="9" t="n">
        <v>76</v>
      </c>
      <c r="C84" s="10" t="s">
        <v>346</v>
      </c>
      <c r="D84" s="10" t="s">
        <v>347</v>
      </c>
      <c r="E84" s="10" t="s">
        <v>59</v>
      </c>
      <c r="F84" s="11" t="s">
        <v>29</v>
      </c>
      <c r="G84" s="10" t="s">
        <v>30</v>
      </c>
      <c r="H84" s="10" t="s">
        <v>31</v>
      </c>
      <c r="I84" s="10" t="s">
        <v>348</v>
      </c>
      <c r="J84" s="10" t="s">
        <v>349</v>
      </c>
      <c r="K84" s="10"/>
      <c r="L84" s="12"/>
      <c r="M84" s="13" t="s">
        <v>350</v>
      </c>
    </row>
    <row r="85" customFormat="false" ht="61.5" hidden="false" customHeight="true" outlineLevel="0" collapsed="false">
      <c r="B85" s="9" t="n">
        <v>77</v>
      </c>
      <c r="C85" s="10" t="s">
        <v>346</v>
      </c>
      <c r="D85" s="10" t="s">
        <v>351</v>
      </c>
      <c r="E85" s="10" t="s">
        <v>352</v>
      </c>
      <c r="F85" s="11" t="s">
        <v>29</v>
      </c>
      <c r="G85" s="10" t="s">
        <v>30</v>
      </c>
      <c r="H85" s="10" t="s">
        <v>31</v>
      </c>
      <c r="I85" s="10" t="s">
        <v>353</v>
      </c>
      <c r="J85" s="10" t="s">
        <v>354</v>
      </c>
      <c r="K85" s="10"/>
      <c r="L85" s="12"/>
      <c r="M85" s="13" t="s">
        <v>350</v>
      </c>
    </row>
    <row r="86" customFormat="false" ht="103.5" hidden="false" customHeight="true" outlineLevel="0" collapsed="false">
      <c r="B86" s="9" t="n">
        <v>78</v>
      </c>
      <c r="C86" s="10" t="s">
        <v>346</v>
      </c>
      <c r="D86" s="10" t="s">
        <v>355</v>
      </c>
      <c r="E86" s="10" t="s">
        <v>356</v>
      </c>
      <c r="F86" s="11" t="s">
        <v>29</v>
      </c>
      <c r="G86" s="10" t="s">
        <v>83</v>
      </c>
      <c r="H86" s="10" t="s">
        <v>31</v>
      </c>
      <c r="I86" s="10" t="s">
        <v>357</v>
      </c>
      <c r="J86" s="10" t="s">
        <v>358</v>
      </c>
      <c r="K86" s="10"/>
      <c r="L86" s="12"/>
      <c r="M86" s="13" t="s">
        <v>350</v>
      </c>
    </row>
    <row r="87" customFormat="false" ht="61.5" hidden="false" customHeight="true" outlineLevel="0" collapsed="false">
      <c r="B87" s="9" t="n">
        <v>79</v>
      </c>
      <c r="C87" s="10" t="s">
        <v>346</v>
      </c>
      <c r="D87" s="10" t="s">
        <v>359</v>
      </c>
      <c r="E87" s="10" t="s">
        <v>360</v>
      </c>
      <c r="F87" s="11" t="s">
        <v>29</v>
      </c>
      <c r="G87" s="10" t="s">
        <v>30</v>
      </c>
      <c r="H87" s="10" t="s">
        <v>31</v>
      </c>
      <c r="I87" s="10" t="s">
        <v>346</v>
      </c>
      <c r="J87" s="10" t="s">
        <v>361</v>
      </c>
      <c r="K87" s="10"/>
      <c r="L87" s="12"/>
      <c r="M87" s="13" t="s">
        <v>350</v>
      </c>
    </row>
    <row r="88" customFormat="false" ht="33.75" hidden="false" customHeight="true" outlineLevel="0" collapsed="false">
      <c r="B88" s="9" t="n">
        <v>80</v>
      </c>
      <c r="C88" s="10" t="s">
        <v>362</v>
      </c>
      <c r="D88" s="10" t="s">
        <v>363</v>
      </c>
      <c r="E88" s="10" t="s">
        <v>364</v>
      </c>
      <c r="F88" s="11" t="s">
        <v>29</v>
      </c>
      <c r="G88" s="10" t="s">
        <v>235</v>
      </c>
      <c r="H88" s="10" t="s">
        <v>206</v>
      </c>
      <c r="I88" s="10" t="s">
        <v>255</v>
      </c>
      <c r="J88" s="10" t="s">
        <v>365</v>
      </c>
      <c r="K88" s="10"/>
      <c r="L88" s="12"/>
      <c r="M88" s="13" t="s">
        <v>350</v>
      </c>
    </row>
    <row r="89" customFormat="false" ht="90" hidden="false" customHeight="true" outlineLevel="0" collapsed="false">
      <c r="B89" s="9" t="n">
        <v>81</v>
      </c>
      <c r="C89" s="10" t="s">
        <v>362</v>
      </c>
      <c r="D89" s="10" t="s">
        <v>366</v>
      </c>
      <c r="E89" s="10" t="s">
        <v>367</v>
      </c>
      <c r="F89" s="11" t="s">
        <v>29</v>
      </c>
      <c r="G89" s="10" t="s">
        <v>235</v>
      </c>
      <c r="H89" s="10" t="s">
        <v>206</v>
      </c>
      <c r="I89" s="10" t="s">
        <v>368</v>
      </c>
      <c r="J89" s="10" t="s">
        <v>369</v>
      </c>
      <c r="K89" s="10" t="s">
        <v>370</v>
      </c>
      <c r="L89" s="12"/>
      <c r="M89" s="13" t="s">
        <v>350</v>
      </c>
    </row>
    <row r="90" customFormat="false" ht="48" hidden="false" customHeight="true" outlineLevel="0" collapsed="false">
      <c r="B90" s="9" t="n">
        <v>82</v>
      </c>
      <c r="C90" s="10" t="s">
        <v>362</v>
      </c>
      <c r="D90" s="10" t="s">
        <v>371</v>
      </c>
      <c r="E90" s="10" t="s">
        <v>59</v>
      </c>
      <c r="F90" s="11" t="s">
        <v>29</v>
      </c>
      <c r="G90" s="10" t="s">
        <v>171</v>
      </c>
      <c r="H90" s="10" t="s">
        <v>31</v>
      </c>
      <c r="I90" s="10" t="s">
        <v>172</v>
      </c>
      <c r="J90" s="10" t="s">
        <v>252</v>
      </c>
      <c r="K90" s="10"/>
      <c r="L90" s="12"/>
      <c r="M90" s="13" t="s">
        <v>372</v>
      </c>
    </row>
    <row r="91" customFormat="false" ht="48" hidden="false" customHeight="true" outlineLevel="0" collapsed="false">
      <c r="B91" s="9" t="n">
        <v>83</v>
      </c>
      <c r="C91" s="10" t="s">
        <v>373</v>
      </c>
      <c r="D91" s="10" t="s">
        <v>374</v>
      </c>
      <c r="E91" s="10" t="s">
        <v>59</v>
      </c>
      <c r="F91" s="11" t="s">
        <v>29</v>
      </c>
      <c r="G91" s="10" t="s">
        <v>205</v>
      </c>
      <c r="H91" s="10" t="s">
        <v>206</v>
      </c>
      <c r="I91" s="10" t="s">
        <v>375</v>
      </c>
      <c r="J91" s="10" t="s">
        <v>376</v>
      </c>
      <c r="K91" s="10"/>
      <c r="L91" s="12"/>
      <c r="M91" s="13" t="s">
        <v>377</v>
      </c>
    </row>
    <row r="92" customFormat="false" ht="33.75" hidden="false" customHeight="true" outlineLevel="0" collapsed="false">
      <c r="B92" s="9" t="n">
        <v>84</v>
      </c>
      <c r="C92" s="10" t="s">
        <v>373</v>
      </c>
      <c r="D92" s="10" t="s">
        <v>378</v>
      </c>
      <c r="E92" s="10" t="s">
        <v>379</v>
      </c>
      <c r="F92" s="11" t="s">
        <v>297</v>
      </c>
      <c r="G92" s="10" t="s">
        <v>171</v>
      </c>
      <c r="H92" s="10" t="s">
        <v>206</v>
      </c>
      <c r="I92" s="10" t="s">
        <v>31</v>
      </c>
      <c r="J92" s="10" t="s">
        <v>31</v>
      </c>
      <c r="K92" s="10" t="s">
        <v>380</v>
      </c>
      <c r="L92" s="12"/>
      <c r="M92" s="13" t="s">
        <v>377</v>
      </c>
    </row>
    <row r="93" customFormat="false" ht="75.75" hidden="false" customHeight="true" outlineLevel="0" collapsed="false">
      <c r="B93" s="9" t="n">
        <v>85</v>
      </c>
      <c r="C93" s="10" t="s">
        <v>373</v>
      </c>
      <c r="D93" s="10" t="s">
        <v>381</v>
      </c>
      <c r="E93" s="10" t="s">
        <v>382</v>
      </c>
      <c r="F93" s="11" t="s">
        <v>29</v>
      </c>
      <c r="G93" s="10" t="s">
        <v>205</v>
      </c>
      <c r="H93" s="10" t="s">
        <v>206</v>
      </c>
      <c r="I93" s="10" t="s">
        <v>375</v>
      </c>
      <c r="J93" s="10" t="s">
        <v>383</v>
      </c>
      <c r="K93" s="10"/>
      <c r="L93" s="12"/>
      <c r="M93" s="13" t="s">
        <v>377</v>
      </c>
    </row>
    <row r="94" customFormat="false" ht="48" hidden="false" customHeight="true" outlineLevel="0" collapsed="false">
      <c r="B94" s="9" t="n">
        <v>86</v>
      </c>
      <c r="C94" s="10" t="s">
        <v>384</v>
      </c>
      <c r="D94" s="10" t="s">
        <v>385</v>
      </c>
      <c r="E94" s="10" t="s">
        <v>59</v>
      </c>
      <c r="F94" s="11" t="s">
        <v>29</v>
      </c>
      <c r="G94" s="10" t="s">
        <v>205</v>
      </c>
      <c r="H94" s="10" t="s">
        <v>206</v>
      </c>
      <c r="I94" s="10" t="s">
        <v>386</v>
      </c>
      <c r="J94" s="10" t="s">
        <v>387</v>
      </c>
      <c r="K94" s="10"/>
      <c r="L94" s="12"/>
      <c r="M94" s="13" t="s">
        <v>388</v>
      </c>
    </row>
    <row r="95" customFormat="false" ht="48" hidden="false" customHeight="true" outlineLevel="0" collapsed="false">
      <c r="B95" s="9" t="n">
        <v>87</v>
      </c>
      <c r="C95" s="10" t="s">
        <v>384</v>
      </c>
      <c r="D95" s="10" t="s">
        <v>389</v>
      </c>
      <c r="E95" s="10" t="s">
        <v>390</v>
      </c>
      <c r="F95" s="11" t="s">
        <v>297</v>
      </c>
      <c r="G95" s="10" t="s">
        <v>205</v>
      </c>
      <c r="H95" s="10" t="s">
        <v>206</v>
      </c>
      <c r="I95" s="10" t="s">
        <v>386</v>
      </c>
      <c r="J95" s="10" t="s">
        <v>391</v>
      </c>
      <c r="K95" s="10" t="s">
        <v>392</v>
      </c>
      <c r="L95" s="12"/>
      <c r="M95" s="13" t="s">
        <v>388</v>
      </c>
    </row>
    <row r="96" customFormat="false" ht="33.75" hidden="false" customHeight="true" outlineLevel="0" collapsed="false">
      <c r="B96" s="9" t="n">
        <v>88</v>
      </c>
      <c r="C96" s="10" t="s">
        <v>393</v>
      </c>
      <c r="D96" s="10" t="s">
        <v>394</v>
      </c>
      <c r="E96" s="10" t="s">
        <v>59</v>
      </c>
      <c r="F96" s="11" t="s">
        <v>29</v>
      </c>
      <c r="G96" s="10" t="s">
        <v>30</v>
      </c>
      <c r="H96" s="10" t="s">
        <v>31</v>
      </c>
      <c r="I96" s="10" t="s">
        <v>395</v>
      </c>
      <c r="J96" s="10" t="s">
        <v>396</v>
      </c>
      <c r="K96" s="10"/>
      <c r="L96" s="12"/>
      <c r="M96" s="13" t="s">
        <v>397</v>
      </c>
    </row>
    <row r="97" customFormat="false" ht="33.75" hidden="false" customHeight="true" outlineLevel="0" collapsed="false">
      <c r="B97" s="9" t="n">
        <v>89</v>
      </c>
      <c r="C97" s="10" t="s">
        <v>398</v>
      </c>
      <c r="D97" s="10" t="s">
        <v>399</v>
      </c>
      <c r="E97" s="10" t="s">
        <v>59</v>
      </c>
      <c r="F97" s="11" t="s">
        <v>29</v>
      </c>
      <c r="G97" s="10" t="s">
        <v>30</v>
      </c>
      <c r="H97" s="10" t="s">
        <v>31</v>
      </c>
      <c r="I97" s="10" t="s">
        <v>398</v>
      </c>
      <c r="J97" s="10" t="s">
        <v>400</v>
      </c>
      <c r="K97" s="10"/>
      <c r="L97" s="12"/>
      <c r="M97" s="13" t="s">
        <v>401</v>
      </c>
    </row>
    <row r="98" customFormat="false" ht="103.5" hidden="false" customHeight="true" outlineLevel="0" collapsed="false">
      <c r="B98" s="9" t="n">
        <v>90</v>
      </c>
      <c r="C98" s="10" t="s">
        <v>398</v>
      </c>
      <c r="D98" s="10" t="s">
        <v>402</v>
      </c>
      <c r="E98" s="10" t="s">
        <v>403</v>
      </c>
      <c r="F98" s="11" t="s">
        <v>29</v>
      </c>
      <c r="G98" s="10" t="s">
        <v>51</v>
      </c>
      <c r="H98" s="10" t="s">
        <v>31</v>
      </c>
      <c r="I98" s="10" t="s">
        <v>398</v>
      </c>
      <c r="J98" s="10" t="s">
        <v>404</v>
      </c>
      <c r="K98" s="10"/>
      <c r="L98" s="12"/>
      <c r="M98" s="13" t="s">
        <v>401</v>
      </c>
    </row>
    <row r="99" customFormat="false" ht="103.5" hidden="false" customHeight="true" outlineLevel="0" collapsed="false">
      <c r="B99" s="9" t="n">
        <v>91</v>
      </c>
      <c r="C99" s="10" t="s">
        <v>405</v>
      </c>
      <c r="D99" s="10" t="s">
        <v>406</v>
      </c>
      <c r="E99" s="10" t="s">
        <v>407</v>
      </c>
      <c r="F99" s="11" t="s">
        <v>29</v>
      </c>
      <c r="G99" s="10" t="s">
        <v>51</v>
      </c>
      <c r="H99" s="10" t="s">
        <v>31</v>
      </c>
      <c r="I99" s="10" t="s">
        <v>408</v>
      </c>
      <c r="J99" s="10" t="s">
        <v>409</v>
      </c>
      <c r="K99" s="10"/>
      <c r="L99" s="12"/>
      <c r="M99" s="13" t="s">
        <v>410</v>
      </c>
    </row>
    <row r="100" customFormat="false" ht="75.75" hidden="false" customHeight="true" outlineLevel="0" collapsed="false">
      <c r="B100" s="9" t="n">
        <v>92</v>
      </c>
      <c r="C100" s="10" t="s">
        <v>405</v>
      </c>
      <c r="D100" s="10" t="s">
        <v>411</v>
      </c>
      <c r="E100" s="10" t="s">
        <v>412</v>
      </c>
      <c r="F100" s="11" t="s">
        <v>29</v>
      </c>
      <c r="G100" s="10" t="s">
        <v>51</v>
      </c>
      <c r="H100" s="10" t="s">
        <v>31</v>
      </c>
      <c r="I100" s="10" t="s">
        <v>413</v>
      </c>
      <c r="J100" s="10" t="s">
        <v>414</v>
      </c>
      <c r="K100" s="10"/>
      <c r="L100" s="12"/>
      <c r="M100" s="13" t="s">
        <v>401</v>
      </c>
    </row>
    <row r="101" customFormat="false" ht="61.5" hidden="false" customHeight="true" outlineLevel="0" collapsed="false">
      <c r="B101" s="9" t="n">
        <v>93</v>
      </c>
      <c r="C101" s="10" t="s">
        <v>405</v>
      </c>
      <c r="D101" s="10" t="s">
        <v>415</v>
      </c>
      <c r="E101" s="10" t="s">
        <v>416</v>
      </c>
      <c r="F101" s="11" t="s">
        <v>29</v>
      </c>
      <c r="G101" s="10" t="s">
        <v>51</v>
      </c>
      <c r="H101" s="10" t="s">
        <v>31</v>
      </c>
      <c r="I101" s="10" t="s">
        <v>417</v>
      </c>
      <c r="J101" s="10" t="s">
        <v>418</v>
      </c>
      <c r="K101" s="10"/>
      <c r="L101" s="12"/>
      <c r="M101" s="13" t="s">
        <v>401</v>
      </c>
    </row>
    <row r="102" customFormat="false" ht="48" hidden="false" customHeight="true" outlineLevel="0" collapsed="false">
      <c r="B102" s="9" t="n">
        <v>94</v>
      </c>
      <c r="C102" s="10" t="s">
        <v>405</v>
      </c>
      <c r="D102" s="10" t="s">
        <v>419</v>
      </c>
      <c r="E102" s="10" t="s">
        <v>420</v>
      </c>
      <c r="F102" s="11" t="s">
        <v>29</v>
      </c>
      <c r="G102" s="10" t="s">
        <v>51</v>
      </c>
      <c r="H102" s="10" t="s">
        <v>31</v>
      </c>
      <c r="I102" s="10" t="s">
        <v>421</v>
      </c>
      <c r="J102" s="10" t="s">
        <v>422</v>
      </c>
      <c r="K102" s="10"/>
      <c r="L102" s="12"/>
      <c r="M102" s="13" t="s">
        <v>401</v>
      </c>
    </row>
    <row r="103" customFormat="false" ht="33.75" hidden="false" customHeight="true" outlineLevel="0" collapsed="false">
      <c r="B103" s="9" t="n">
        <v>95</v>
      </c>
      <c r="C103" s="10" t="s">
        <v>423</v>
      </c>
      <c r="D103" s="10" t="s">
        <v>424</v>
      </c>
      <c r="E103" s="10" t="s">
        <v>59</v>
      </c>
      <c r="F103" s="11" t="s">
        <v>29</v>
      </c>
      <c r="G103" s="10" t="s">
        <v>30</v>
      </c>
      <c r="H103" s="10" t="s">
        <v>31</v>
      </c>
      <c r="I103" s="10" t="s">
        <v>425</v>
      </c>
      <c r="J103" s="10" t="s">
        <v>426</v>
      </c>
      <c r="K103" s="10"/>
      <c r="L103" s="12"/>
      <c r="M103" s="13" t="s">
        <v>427</v>
      </c>
    </row>
    <row r="104" customFormat="false" ht="33.75" hidden="false" customHeight="true" outlineLevel="0" collapsed="false">
      <c r="B104" s="9" t="n">
        <v>96</v>
      </c>
      <c r="C104" s="10" t="s">
        <v>423</v>
      </c>
      <c r="D104" s="10" t="s">
        <v>428</v>
      </c>
      <c r="E104" s="10" t="s">
        <v>59</v>
      </c>
      <c r="F104" s="11" t="s">
        <v>29</v>
      </c>
      <c r="G104" s="10" t="s">
        <v>30</v>
      </c>
      <c r="H104" s="10" t="s">
        <v>31</v>
      </c>
      <c r="I104" s="10" t="s">
        <v>429</v>
      </c>
      <c r="J104" s="10" t="s">
        <v>430</v>
      </c>
      <c r="K104" s="10"/>
      <c r="L104" s="12"/>
      <c r="M104" s="13" t="s">
        <v>427</v>
      </c>
    </row>
    <row r="105" customFormat="false" ht="90" hidden="false" customHeight="true" outlineLevel="0" collapsed="false">
      <c r="B105" s="9" t="n">
        <v>97</v>
      </c>
      <c r="C105" s="10" t="s">
        <v>423</v>
      </c>
      <c r="D105" s="10" t="s">
        <v>431</v>
      </c>
      <c r="E105" s="10" t="s">
        <v>59</v>
      </c>
      <c r="F105" s="11" t="s">
        <v>29</v>
      </c>
      <c r="G105" s="10" t="s">
        <v>51</v>
      </c>
      <c r="H105" s="10" t="s">
        <v>31</v>
      </c>
      <c r="I105" s="10" t="s">
        <v>432</v>
      </c>
      <c r="J105" s="10" t="s">
        <v>433</v>
      </c>
      <c r="K105" s="10" t="s">
        <v>434</v>
      </c>
      <c r="L105" s="12"/>
      <c r="M105" s="13" t="s">
        <v>435</v>
      </c>
    </row>
    <row r="106" customFormat="false" ht="33.75" hidden="false" customHeight="true" outlineLevel="0" collapsed="false">
      <c r="B106" s="9" t="n">
        <v>98</v>
      </c>
      <c r="C106" s="10" t="s">
        <v>423</v>
      </c>
      <c r="D106" s="10" t="s">
        <v>436</v>
      </c>
      <c r="E106" s="10" t="s">
        <v>59</v>
      </c>
      <c r="F106" s="11" t="s">
        <v>29</v>
      </c>
      <c r="G106" s="10" t="s">
        <v>30</v>
      </c>
      <c r="H106" s="10" t="s">
        <v>31</v>
      </c>
      <c r="I106" s="10" t="s">
        <v>425</v>
      </c>
      <c r="J106" s="10" t="s">
        <v>437</v>
      </c>
      <c r="K106" s="10"/>
      <c r="L106" s="12"/>
      <c r="M106" s="13" t="s">
        <v>438</v>
      </c>
    </row>
    <row r="107" customFormat="false" ht="61.5" hidden="false" customHeight="true" outlineLevel="0" collapsed="false">
      <c r="B107" s="9" t="n">
        <v>99</v>
      </c>
      <c r="C107" s="10" t="s">
        <v>423</v>
      </c>
      <c r="D107" s="10" t="s">
        <v>439</v>
      </c>
      <c r="E107" s="10" t="s">
        <v>440</v>
      </c>
      <c r="F107" s="11" t="s">
        <v>29</v>
      </c>
      <c r="G107" s="10" t="s">
        <v>441</v>
      </c>
      <c r="H107" s="10" t="s">
        <v>31</v>
      </c>
      <c r="I107" s="10" t="s">
        <v>442</v>
      </c>
      <c r="J107" s="10" t="s">
        <v>443</v>
      </c>
      <c r="K107" s="10" t="s">
        <v>444</v>
      </c>
      <c r="L107" s="12"/>
      <c r="M107" s="13" t="s">
        <v>31</v>
      </c>
    </row>
    <row r="108" customFormat="false" ht="33.75" hidden="false" customHeight="true" outlineLevel="0" collapsed="false">
      <c r="B108" s="9" t="n">
        <v>100</v>
      </c>
      <c r="C108" s="10" t="s">
        <v>445</v>
      </c>
      <c r="D108" s="10" t="s">
        <v>446</v>
      </c>
      <c r="E108" s="10" t="s">
        <v>59</v>
      </c>
      <c r="F108" s="11" t="s">
        <v>29</v>
      </c>
      <c r="G108" s="10" t="s">
        <v>30</v>
      </c>
      <c r="H108" s="10" t="s">
        <v>31</v>
      </c>
      <c r="I108" s="10" t="s">
        <v>445</v>
      </c>
      <c r="J108" s="10" t="s">
        <v>447</v>
      </c>
      <c r="K108" s="10"/>
      <c r="L108" s="12"/>
      <c r="M108" s="13" t="s">
        <v>448</v>
      </c>
    </row>
    <row r="109" customFormat="false" ht="48" hidden="false" customHeight="true" outlineLevel="0" collapsed="false">
      <c r="B109" s="9" t="n">
        <v>101</v>
      </c>
      <c r="C109" s="10" t="s">
        <v>445</v>
      </c>
      <c r="D109" s="10" t="s">
        <v>449</v>
      </c>
      <c r="E109" s="10" t="s">
        <v>450</v>
      </c>
      <c r="F109" s="11" t="s">
        <v>29</v>
      </c>
      <c r="G109" s="10" t="s">
        <v>30</v>
      </c>
      <c r="H109" s="10" t="s">
        <v>31</v>
      </c>
      <c r="I109" s="10" t="s">
        <v>451</v>
      </c>
      <c r="J109" s="10" t="s">
        <v>452</v>
      </c>
      <c r="K109" s="10"/>
      <c r="L109" s="12"/>
      <c r="M109" s="13" t="s">
        <v>44</v>
      </c>
    </row>
    <row r="110" customFormat="false" ht="48" hidden="false" customHeight="true" outlineLevel="0" collapsed="false">
      <c r="B110" s="9" t="n">
        <v>102</v>
      </c>
      <c r="C110" s="10" t="s">
        <v>445</v>
      </c>
      <c r="D110" s="10" t="s">
        <v>453</v>
      </c>
      <c r="E110" s="10" t="s">
        <v>454</v>
      </c>
      <c r="F110" s="11" t="s">
        <v>29</v>
      </c>
      <c r="G110" s="10" t="s">
        <v>171</v>
      </c>
      <c r="H110" s="10" t="s">
        <v>31</v>
      </c>
      <c r="I110" s="10" t="s">
        <v>172</v>
      </c>
      <c r="J110" s="10" t="s">
        <v>455</v>
      </c>
      <c r="K110" s="10"/>
      <c r="L110" s="12"/>
      <c r="M110" s="13" t="s">
        <v>456</v>
      </c>
    </row>
    <row r="111" customFormat="false" ht="33.75" hidden="false" customHeight="true" outlineLevel="0" collapsed="false">
      <c r="B111" s="9" t="n">
        <v>103</v>
      </c>
      <c r="C111" s="10" t="s">
        <v>457</v>
      </c>
      <c r="D111" s="10" t="s">
        <v>458</v>
      </c>
      <c r="E111" s="10" t="s">
        <v>59</v>
      </c>
      <c r="F111" s="11" t="s">
        <v>29</v>
      </c>
      <c r="G111" s="10" t="s">
        <v>30</v>
      </c>
      <c r="H111" s="10" t="s">
        <v>31</v>
      </c>
      <c r="I111" s="10" t="s">
        <v>459</v>
      </c>
      <c r="J111" s="10" t="s">
        <v>460</v>
      </c>
      <c r="K111" s="10"/>
      <c r="L111" s="12"/>
      <c r="M111" s="13" t="s">
        <v>461</v>
      </c>
    </row>
    <row r="112" customFormat="false" ht="25.5" hidden="false" customHeight="true" outlineLevel="0" collapsed="false">
      <c r="B112" s="9" t="n">
        <v>104</v>
      </c>
      <c r="C112" s="10" t="s">
        <v>457</v>
      </c>
      <c r="D112" s="10" t="s">
        <v>462</v>
      </c>
      <c r="E112" s="10" t="s">
        <v>59</v>
      </c>
      <c r="F112" s="11" t="s">
        <v>29</v>
      </c>
      <c r="G112" s="10" t="s">
        <v>30</v>
      </c>
      <c r="H112" s="10" t="s">
        <v>31</v>
      </c>
      <c r="I112" s="10" t="s">
        <v>463</v>
      </c>
      <c r="J112" s="10" t="s">
        <v>464</v>
      </c>
      <c r="K112" s="10"/>
      <c r="L112" s="12"/>
      <c r="M112" s="13" t="s">
        <v>461</v>
      </c>
    </row>
    <row r="113" customFormat="false" ht="48" hidden="false" customHeight="true" outlineLevel="0" collapsed="false">
      <c r="B113" s="9" t="n">
        <v>105</v>
      </c>
      <c r="C113" s="10" t="s">
        <v>457</v>
      </c>
      <c r="D113" s="10" t="s">
        <v>465</v>
      </c>
      <c r="E113" s="10" t="s">
        <v>466</v>
      </c>
      <c r="F113" s="11" t="s">
        <v>467</v>
      </c>
      <c r="G113" s="10" t="s">
        <v>51</v>
      </c>
      <c r="H113" s="10" t="s">
        <v>31</v>
      </c>
      <c r="I113" s="10" t="s">
        <v>468</v>
      </c>
      <c r="J113" s="10" t="s">
        <v>469</v>
      </c>
      <c r="K113" s="10" t="s">
        <v>470</v>
      </c>
      <c r="L113" s="12"/>
      <c r="M113" s="13" t="s">
        <v>461</v>
      </c>
    </row>
    <row r="114" customFormat="false" ht="33.75" hidden="false" customHeight="true" outlineLevel="0" collapsed="false">
      <c r="B114" s="9" t="n">
        <v>106</v>
      </c>
      <c r="C114" s="10" t="s">
        <v>457</v>
      </c>
      <c r="D114" s="10" t="s">
        <v>471</v>
      </c>
      <c r="E114" s="10" t="s">
        <v>59</v>
      </c>
      <c r="F114" s="11" t="s">
        <v>29</v>
      </c>
      <c r="G114" s="10" t="s">
        <v>30</v>
      </c>
      <c r="H114" s="10" t="s">
        <v>31</v>
      </c>
      <c r="I114" s="10" t="s">
        <v>472</v>
      </c>
      <c r="J114" s="10" t="s">
        <v>473</v>
      </c>
      <c r="K114" s="10"/>
      <c r="L114" s="12"/>
      <c r="M114" s="13" t="s">
        <v>160</v>
      </c>
    </row>
    <row r="115" customFormat="false" ht="33.75" hidden="false" customHeight="true" outlineLevel="0" collapsed="false">
      <c r="B115" s="9" t="n">
        <v>107</v>
      </c>
      <c r="C115" s="10" t="s">
        <v>457</v>
      </c>
      <c r="D115" s="10" t="s">
        <v>474</v>
      </c>
      <c r="E115" s="10" t="s">
        <v>475</v>
      </c>
      <c r="F115" s="11" t="s">
        <v>29</v>
      </c>
      <c r="G115" s="10" t="s">
        <v>51</v>
      </c>
      <c r="H115" s="10" t="s">
        <v>31</v>
      </c>
      <c r="I115" s="10" t="s">
        <v>476</v>
      </c>
      <c r="J115" s="10" t="s">
        <v>477</v>
      </c>
      <c r="K115" s="10"/>
      <c r="L115" s="12"/>
      <c r="M115" s="13" t="s">
        <v>461</v>
      </c>
    </row>
    <row r="116" customFormat="false" ht="33.75" hidden="false" customHeight="true" outlineLevel="0" collapsed="false">
      <c r="B116" s="9" t="n">
        <v>108</v>
      </c>
      <c r="C116" s="10" t="s">
        <v>457</v>
      </c>
      <c r="D116" s="10" t="s">
        <v>478</v>
      </c>
      <c r="E116" s="10" t="s">
        <v>59</v>
      </c>
      <c r="F116" s="11" t="s">
        <v>29</v>
      </c>
      <c r="G116" s="10" t="s">
        <v>30</v>
      </c>
      <c r="H116" s="10" t="s">
        <v>31</v>
      </c>
      <c r="I116" s="10" t="s">
        <v>476</v>
      </c>
      <c r="J116" s="10" t="s">
        <v>479</v>
      </c>
      <c r="K116" s="10"/>
      <c r="L116" s="12"/>
      <c r="M116" s="13" t="s">
        <v>461</v>
      </c>
    </row>
    <row r="117" customFormat="false" ht="25.5" hidden="false" customHeight="true" outlineLevel="0" collapsed="false">
      <c r="B117" s="9" t="n">
        <v>109</v>
      </c>
      <c r="C117" s="10" t="s">
        <v>480</v>
      </c>
      <c r="D117" s="10" t="s">
        <v>481</v>
      </c>
      <c r="E117" s="10" t="s">
        <v>59</v>
      </c>
      <c r="F117" s="11" t="s">
        <v>29</v>
      </c>
      <c r="G117" s="10" t="s">
        <v>30</v>
      </c>
      <c r="H117" s="10" t="s">
        <v>31</v>
      </c>
      <c r="I117" s="10" t="s">
        <v>480</v>
      </c>
      <c r="J117" s="10" t="s">
        <v>482</v>
      </c>
      <c r="K117" s="10"/>
      <c r="L117" s="12"/>
      <c r="M117" s="13" t="s">
        <v>483</v>
      </c>
    </row>
    <row r="118" customFormat="false" ht="48" hidden="false" customHeight="true" outlineLevel="0" collapsed="false">
      <c r="B118" s="9" t="n">
        <v>110</v>
      </c>
      <c r="C118" s="10" t="s">
        <v>484</v>
      </c>
      <c r="D118" s="10" t="s">
        <v>485</v>
      </c>
      <c r="E118" s="10" t="s">
        <v>486</v>
      </c>
      <c r="F118" s="11" t="s">
        <v>29</v>
      </c>
      <c r="G118" s="10" t="s">
        <v>30</v>
      </c>
      <c r="H118" s="10" t="s">
        <v>31</v>
      </c>
      <c r="I118" s="10" t="s">
        <v>487</v>
      </c>
      <c r="J118" s="10" t="s">
        <v>228</v>
      </c>
      <c r="K118" s="10"/>
      <c r="L118" s="12"/>
      <c r="M118" s="13" t="s">
        <v>488</v>
      </c>
    </row>
    <row r="119" customFormat="false" ht="48" hidden="false" customHeight="true" outlineLevel="0" collapsed="false">
      <c r="B119" s="9" t="n">
        <v>111</v>
      </c>
      <c r="C119" s="10" t="s">
        <v>484</v>
      </c>
      <c r="D119" s="10" t="s">
        <v>489</v>
      </c>
      <c r="E119" s="10" t="s">
        <v>490</v>
      </c>
      <c r="F119" s="11" t="s">
        <v>29</v>
      </c>
      <c r="G119" s="10" t="s">
        <v>30</v>
      </c>
      <c r="H119" s="10" t="s">
        <v>31</v>
      </c>
      <c r="I119" s="10" t="s">
        <v>491</v>
      </c>
      <c r="J119" s="10" t="s">
        <v>492</v>
      </c>
      <c r="K119" s="10" t="s">
        <v>493</v>
      </c>
      <c r="L119" s="12"/>
      <c r="M119" s="13" t="s">
        <v>488</v>
      </c>
    </row>
    <row r="120" customFormat="false" ht="33.75" hidden="false" customHeight="true" outlineLevel="0" collapsed="false">
      <c r="B120" s="9" t="n">
        <v>112</v>
      </c>
      <c r="C120" s="10" t="s">
        <v>484</v>
      </c>
      <c r="D120" s="10" t="s">
        <v>494</v>
      </c>
      <c r="E120" s="10" t="s">
        <v>495</v>
      </c>
      <c r="F120" s="11" t="s">
        <v>29</v>
      </c>
      <c r="G120" s="10" t="s">
        <v>51</v>
      </c>
      <c r="H120" s="10" t="s">
        <v>31</v>
      </c>
      <c r="I120" s="10" t="s">
        <v>496</v>
      </c>
      <c r="J120" s="10" t="s">
        <v>497</v>
      </c>
      <c r="K120" s="10"/>
      <c r="L120" s="12"/>
      <c r="M120" s="13" t="s">
        <v>488</v>
      </c>
    </row>
    <row r="121" customFormat="false" ht="61.5" hidden="false" customHeight="true" outlineLevel="0" collapsed="false">
      <c r="B121" s="9" t="n">
        <v>113</v>
      </c>
      <c r="C121" s="10" t="s">
        <v>484</v>
      </c>
      <c r="D121" s="10" t="s">
        <v>498</v>
      </c>
      <c r="E121" s="10" t="s">
        <v>499</v>
      </c>
      <c r="F121" s="11" t="s">
        <v>29</v>
      </c>
      <c r="G121" s="10" t="s">
        <v>51</v>
      </c>
      <c r="H121" s="10" t="s">
        <v>31</v>
      </c>
      <c r="I121" s="10" t="s">
        <v>500</v>
      </c>
      <c r="J121" s="10" t="s">
        <v>501</v>
      </c>
      <c r="K121" s="10"/>
      <c r="L121" s="12"/>
      <c r="M121" s="13" t="s">
        <v>488</v>
      </c>
    </row>
    <row r="122" customFormat="false" ht="48" hidden="false" customHeight="true" outlineLevel="0" collapsed="false">
      <c r="B122" s="9" t="n">
        <v>114</v>
      </c>
      <c r="C122" s="10" t="s">
        <v>484</v>
      </c>
      <c r="D122" s="10" t="s">
        <v>502</v>
      </c>
      <c r="E122" s="10" t="s">
        <v>503</v>
      </c>
      <c r="F122" s="11" t="s">
        <v>29</v>
      </c>
      <c r="G122" s="10" t="s">
        <v>51</v>
      </c>
      <c r="H122" s="10" t="s">
        <v>31</v>
      </c>
      <c r="I122" s="10" t="s">
        <v>504</v>
      </c>
      <c r="J122" s="10" t="s">
        <v>505</v>
      </c>
      <c r="K122" s="10" t="s">
        <v>506</v>
      </c>
      <c r="L122" s="12"/>
      <c r="M122" s="13" t="s">
        <v>488</v>
      </c>
    </row>
    <row r="123" customFormat="false" ht="48" hidden="false" customHeight="true" outlineLevel="0" collapsed="false">
      <c r="B123" s="9" t="n">
        <v>115</v>
      </c>
      <c r="C123" s="10" t="s">
        <v>484</v>
      </c>
      <c r="D123" s="10" t="s">
        <v>507</v>
      </c>
      <c r="E123" s="10" t="s">
        <v>508</v>
      </c>
      <c r="F123" s="11" t="s">
        <v>29</v>
      </c>
      <c r="G123" s="10" t="s">
        <v>30</v>
      </c>
      <c r="H123" s="10" t="s">
        <v>31</v>
      </c>
      <c r="I123" s="10" t="s">
        <v>509</v>
      </c>
      <c r="J123" s="10" t="s">
        <v>510</v>
      </c>
      <c r="K123" s="10"/>
      <c r="L123" s="12"/>
      <c r="M123" s="13" t="s">
        <v>488</v>
      </c>
    </row>
    <row r="124" customFormat="false" ht="48" hidden="false" customHeight="true" outlineLevel="0" collapsed="false">
      <c r="B124" s="9" t="n">
        <v>116</v>
      </c>
      <c r="C124" s="10" t="s">
        <v>484</v>
      </c>
      <c r="D124" s="10" t="s">
        <v>511</v>
      </c>
      <c r="E124" s="10" t="s">
        <v>512</v>
      </c>
      <c r="F124" s="11" t="s">
        <v>29</v>
      </c>
      <c r="G124" s="10" t="s">
        <v>51</v>
      </c>
      <c r="H124" s="10" t="s">
        <v>31</v>
      </c>
      <c r="I124" s="10" t="s">
        <v>513</v>
      </c>
      <c r="J124" s="10" t="s">
        <v>514</v>
      </c>
      <c r="K124" s="10"/>
      <c r="L124" s="12"/>
      <c r="M124" s="13" t="s">
        <v>488</v>
      </c>
    </row>
    <row r="125" customFormat="false" ht="33.75" hidden="false" customHeight="true" outlineLevel="0" collapsed="false">
      <c r="B125" s="9" t="n">
        <v>117</v>
      </c>
      <c r="C125" s="10" t="s">
        <v>515</v>
      </c>
      <c r="D125" s="10" t="s">
        <v>516</v>
      </c>
      <c r="E125" s="10" t="s">
        <v>59</v>
      </c>
      <c r="F125" s="11" t="s">
        <v>29</v>
      </c>
      <c r="G125" s="10" t="s">
        <v>205</v>
      </c>
      <c r="H125" s="10" t="s">
        <v>206</v>
      </c>
      <c r="I125" s="10" t="s">
        <v>517</v>
      </c>
      <c r="J125" s="10" t="s">
        <v>426</v>
      </c>
      <c r="K125" s="10"/>
      <c r="L125" s="12"/>
      <c r="M125" s="13" t="s">
        <v>518</v>
      </c>
    </row>
    <row r="126" customFormat="false" ht="48" hidden="false" customHeight="true" outlineLevel="0" collapsed="false">
      <c r="B126" s="9" t="n">
        <v>118</v>
      </c>
      <c r="C126" s="10" t="s">
        <v>515</v>
      </c>
      <c r="D126" s="10" t="s">
        <v>519</v>
      </c>
      <c r="E126" s="10" t="s">
        <v>520</v>
      </c>
      <c r="F126" s="11" t="s">
        <v>29</v>
      </c>
      <c r="G126" s="10" t="s">
        <v>205</v>
      </c>
      <c r="H126" s="10" t="s">
        <v>206</v>
      </c>
      <c r="I126" s="10" t="s">
        <v>521</v>
      </c>
      <c r="J126" s="10" t="s">
        <v>111</v>
      </c>
      <c r="K126" s="10"/>
      <c r="L126" s="12"/>
      <c r="M126" s="13" t="s">
        <v>518</v>
      </c>
    </row>
    <row r="127" customFormat="false" ht="33.75" hidden="false" customHeight="true" outlineLevel="0" collapsed="false">
      <c r="B127" s="9" t="n">
        <v>119</v>
      </c>
      <c r="C127" s="10" t="s">
        <v>515</v>
      </c>
      <c r="D127" s="10" t="s">
        <v>522</v>
      </c>
      <c r="E127" s="10" t="s">
        <v>523</v>
      </c>
      <c r="F127" s="11" t="s">
        <v>29</v>
      </c>
      <c r="G127" s="10" t="s">
        <v>205</v>
      </c>
      <c r="H127" s="10" t="s">
        <v>206</v>
      </c>
      <c r="I127" s="10" t="s">
        <v>524</v>
      </c>
      <c r="J127" s="10" t="s">
        <v>525</v>
      </c>
      <c r="K127" s="10"/>
      <c r="L127" s="12"/>
      <c r="M127" s="13" t="s">
        <v>518</v>
      </c>
    </row>
    <row r="128" customFormat="false" ht="33.75" hidden="false" customHeight="true" outlineLevel="0" collapsed="false">
      <c r="B128" s="9" t="n">
        <v>120</v>
      </c>
      <c r="C128" s="10" t="s">
        <v>515</v>
      </c>
      <c r="D128" s="10" t="s">
        <v>526</v>
      </c>
      <c r="E128" s="10" t="s">
        <v>59</v>
      </c>
      <c r="F128" s="11" t="s">
        <v>29</v>
      </c>
      <c r="G128" s="10" t="s">
        <v>205</v>
      </c>
      <c r="H128" s="10" t="s">
        <v>206</v>
      </c>
      <c r="I128" s="10" t="s">
        <v>517</v>
      </c>
      <c r="J128" s="10" t="s">
        <v>527</v>
      </c>
      <c r="K128" s="10"/>
      <c r="L128" s="12"/>
      <c r="M128" s="13" t="s">
        <v>528</v>
      </c>
    </row>
    <row r="129" customFormat="false" ht="48" hidden="false" customHeight="true" outlineLevel="0" collapsed="false">
      <c r="B129" s="9" t="n">
        <v>121</v>
      </c>
      <c r="C129" s="10" t="s">
        <v>529</v>
      </c>
      <c r="D129" s="10" t="s">
        <v>530</v>
      </c>
      <c r="E129" s="10" t="s">
        <v>531</v>
      </c>
      <c r="F129" s="11" t="s">
        <v>29</v>
      </c>
      <c r="G129" s="10" t="s">
        <v>205</v>
      </c>
      <c r="H129" s="10" t="s">
        <v>206</v>
      </c>
      <c r="I129" s="10" t="s">
        <v>532</v>
      </c>
      <c r="J129" s="10" t="s">
        <v>533</v>
      </c>
      <c r="K129" s="10" t="s">
        <v>534</v>
      </c>
      <c r="L129" s="12"/>
      <c r="M129" s="13" t="s">
        <v>518</v>
      </c>
    </row>
    <row r="130" customFormat="false" ht="33.75" hidden="false" customHeight="true" outlineLevel="0" collapsed="false">
      <c r="B130" s="9" t="n">
        <v>122</v>
      </c>
      <c r="C130" s="10" t="s">
        <v>529</v>
      </c>
      <c r="D130" s="10" t="s">
        <v>535</v>
      </c>
      <c r="E130" s="10" t="s">
        <v>536</v>
      </c>
      <c r="F130" s="11" t="s">
        <v>29</v>
      </c>
      <c r="G130" s="10" t="s">
        <v>235</v>
      </c>
      <c r="H130" s="10" t="s">
        <v>206</v>
      </c>
      <c r="I130" s="10" t="s">
        <v>537</v>
      </c>
      <c r="J130" s="10" t="s">
        <v>538</v>
      </c>
      <c r="K130" s="10"/>
      <c r="L130" s="12"/>
      <c r="M130" s="13" t="s">
        <v>518</v>
      </c>
    </row>
    <row r="131" customFormat="false" ht="61.5" hidden="false" customHeight="true" outlineLevel="0" collapsed="false">
      <c r="B131" s="9" t="n">
        <v>123</v>
      </c>
      <c r="C131" s="10" t="s">
        <v>529</v>
      </c>
      <c r="D131" s="10" t="s">
        <v>539</v>
      </c>
      <c r="E131" s="10" t="s">
        <v>540</v>
      </c>
      <c r="F131" s="11" t="s">
        <v>29</v>
      </c>
      <c r="G131" s="10" t="s">
        <v>541</v>
      </c>
      <c r="H131" s="10" t="s">
        <v>206</v>
      </c>
      <c r="I131" s="10" t="s">
        <v>542</v>
      </c>
      <c r="J131" s="10" t="s">
        <v>543</v>
      </c>
      <c r="K131" s="10"/>
      <c r="L131" s="12"/>
      <c r="M131" s="13" t="s">
        <v>544</v>
      </c>
    </row>
    <row r="132" customFormat="false" ht="48" hidden="false" customHeight="true" outlineLevel="0" collapsed="false">
      <c r="B132" s="9" t="n">
        <v>124</v>
      </c>
      <c r="C132" s="10" t="s">
        <v>545</v>
      </c>
      <c r="D132" s="10" t="s">
        <v>546</v>
      </c>
      <c r="E132" s="10" t="s">
        <v>547</v>
      </c>
      <c r="F132" s="11" t="s">
        <v>29</v>
      </c>
      <c r="G132" s="10" t="s">
        <v>205</v>
      </c>
      <c r="H132" s="10" t="s">
        <v>206</v>
      </c>
      <c r="I132" s="10" t="s">
        <v>548</v>
      </c>
      <c r="J132" s="10" t="s">
        <v>549</v>
      </c>
      <c r="K132" s="10"/>
      <c r="L132" s="12"/>
      <c r="M132" s="13" t="s">
        <v>550</v>
      </c>
    </row>
    <row r="133" customFormat="false" ht="48" hidden="false" customHeight="true" outlineLevel="0" collapsed="false">
      <c r="B133" s="9" t="n">
        <v>125</v>
      </c>
      <c r="C133" s="10" t="s">
        <v>545</v>
      </c>
      <c r="D133" s="10" t="s">
        <v>551</v>
      </c>
      <c r="E133" s="10" t="s">
        <v>552</v>
      </c>
      <c r="F133" s="11" t="s">
        <v>29</v>
      </c>
      <c r="G133" s="10" t="s">
        <v>214</v>
      </c>
      <c r="H133" s="10" t="s">
        <v>206</v>
      </c>
      <c r="I133" s="10" t="s">
        <v>553</v>
      </c>
      <c r="J133" s="10" t="s">
        <v>455</v>
      </c>
      <c r="K133" s="10"/>
      <c r="L133" s="12"/>
      <c r="M133" s="13" t="s">
        <v>550</v>
      </c>
    </row>
    <row r="134" customFormat="false" ht="48" hidden="false" customHeight="true" outlineLevel="0" collapsed="false">
      <c r="B134" s="9" t="n">
        <v>126</v>
      </c>
      <c r="C134" s="10" t="s">
        <v>545</v>
      </c>
      <c r="D134" s="10" t="s">
        <v>554</v>
      </c>
      <c r="E134" s="10" t="s">
        <v>555</v>
      </c>
      <c r="F134" s="11" t="s">
        <v>29</v>
      </c>
      <c r="G134" s="10" t="s">
        <v>205</v>
      </c>
      <c r="H134" s="10" t="s">
        <v>206</v>
      </c>
      <c r="I134" s="10" t="s">
        <v>556</v>
      </c>
      <c r="J134" s="10" t="s">
        <v>557</v>
      </c>
      <c r="K134" s="10"/>
      <c r="L134" s="12"/>
      <c r="M134" s="13" t="s">
        <v>550</v>
      </c>
    </row>
    <row r="135" customFormat="false" ht="33.75" hidden="false" customHeight="true" outlineLevel="0" collapsed="false">
      <c r="B135" s="9" t="n">
        <v>127</v>
      </c>
      <c r="C135" s="10" t="s">
        <v>558</v>
      </c>
      <c r="D135" s="10" t="s">
        <v>559</v>
      </c>
      <c r="E135" s="10" t="s">
        <v>59</v>
      </c>
      <c r="F135" s="11" t="s">
        <v>29</v>
      </c>
      <c r="G135" s="10" t="s">
        <v>205</v>
      </c>
      <c r="H135" s="10" t="s">
        <v>206</v>
      </c>
      <c r="I135" s="10" t="s">
        <v>517</v>
      </c>
      <c r="J135" s="10" t="s">
        <v>560</v>
      </c>
      <c r="K135" s="10"/>
      <c r="L135" s="12"/>
      <c r="M135" s="13" t="s">
        <v>528</v>
      </c>
    </row>
    <row r="136" customFormat="false" ht="61.5" hidden="false" customHeight="true" outlineLevel="0" collapsed="false">
      <c r="B136" s="9" t="n">
        <v>128</v>
      </c>
      <c r="C136" s="10" t="s">
        <v>561</v>
      </c>
      <c r="D136" s="10" t="s">
        <v>562</v>
      </c>
      <c r="E136" s="10" t="s">
        <v>563</v>
      </c>
      <c r="F136" s="11" t="s">
        <v>29</v>
      </c>
      <c r="G136" s="10" t="s">
        <v>205</v>
      </c>
      <c r="H136" s="10" t="s">
        <v>206</v>
      </c>
      <c r="I136" s="10" t="s">
        <v>564</v>
      </c>
      <c r="J136" s="10" t="s">
        <v>565</v>
      </c>
      <c r="K136" s="10" t="s">
        <v>222</v>
      </c>
      <c r="L136" s="12"/>
      <c r="M136" s="13" t="s">
        <v>31</v>
      </c>
    </row>
    <row r="137" customFormat="false" ht="117.75" hidden="false" customHeight="true" outlineLevel="0" collapsed="false">
      <c r="B137" s="9" t="n">
        <v>129</v>
      </c>
      <c r="C137" s="10" t="s">
        <v>561</v>
      </c>
      <c r="D137" s="10" t="s">
        <v>566</v>
      </c>
      <c r="E137" s="10" t="s">
        <v>567</v>
      </c>
      <c r="F137" s="11" t="s">
        <v>29</v>
      </c>
      <c r="G137" s="10" t="s">
        <v>205</v>
      </c>
      <c r="H137" s="10" t="s">
        <v>206</v>
      </c>
      <c r="I137" s="10" t="s">
        <v>568</v>
      </c>
      <c r="J137" s="10" t="s">
        <v>569</v>
      </c>
      <c r="K137" s="10"/>
      <c r="L137" s="12"/>
      <c r="M137" s="13" t="s">
        <v>518</v>
      </c>
    </row>
    <row r="138" customFormat="false" ht="61.5" hidden="false" customHeight="true" outlineLevel="0" collapsed="false">
      <c r="B138" s="9" t="n">
        <v>130</v>
      </c>
      <c r="C138" s="10" t="s">
        <v>570</v>
      </c>
      <c r="D138" s="10" t="s">
        <v>571</v>
      </c>
      <c r="E138" s="10" t="s">
        <v>572</v>
      </c>
      <c r="F138" s="11" t="s">
        <v>29</v>
      </c>
      <c r="G138" s="10" t="s">
        <v>573</v>
      </c>
      <c r="H138" s="10" t="s">
        <v>31</v>
      </c>
      <c r="I138" s="10" t="s">
        <v>574</v>
      </c>
      <c r="J138" s="10" t="s">
        <v>575</v>
      </c>
      <c r="K138" s="10" t="s">
        <v>576</v>
      </c>
      <c r="L138" s="12"/>
      <c r="M138" s="13" t="s">
        <v>577</v>
      </c>
    </row>
    <row r="139" customFormat="false" ht="61.5" hidden="false" customHeight="true" outlineLevel="0" collapsed="false">
      <c r="B139" s="9" t="n">
        <v>131</v>
      </c>
      <c r="C139" s="10" t="s">
        <v>578</v>
      </c>
      <c r="D139" s="10" t="s">
        <v>579</v>
      </c>
      <c r="E139" s="10" t="s">
        <v>580</v>
      </c>
      <c r="F139" s="11" t="s">
        <v>29</v>
      </c>
      <c r="G139" s="10" t="s">
        <v>199</v>
      </c>
      <c r="H139" s="10" t="s">
        <v>31</v>
      </c>
      <c r="I139" s="10" t="s">
        <v>581</v>
      </c>
      <c r="J139" s="10" t="s">
        <v>582</v>
      </c>
      <c r="K139" s="10" t="s">
        <v>583</v>
      </c>
      <c r="L139" s="12"/>
      <c r="M139" s="13" t="s">
        <v>544</v>
      </c>
    </row>
    <row r="140" customFormat="false" ht="75.75" hidden="false" customHeight="true" outlineLevel="0" collapsed="false">
      <c r="B140" s="9" t="n">
        <v>132</v>
      </c>
      <c r="C140" s="10" t="s">
        <v>578</v>
      </c>
      <c r="D140" s="10" t="s">
        <v>584</v>
      </c>
      <c r="E140" s="10" t="s">
        <v>585</v>
      </c>
      <c r="F140" s="11" t="s">
        <v>29</v>
      </c>
      <c r="G140" s="10" t="s">
        <v>199</v>
      </c>
      <c r="H140" s="10" t="s">
        <v>31</v>
      </c>
      <c r="I140" s="10" t="s">
        <v>586</v>
      </c>
      <c r="J140" s="10" t="s">
        <v>587</v>
      </c>
      <c r="K140" s="10" t="s">
        <v>588</v>
      </c>
      <c r="L140" s="12"/>
      <c r="M140" s="13" t="s">
        <v>544</v>
      </c>
    </row>
    <row r="141" customFormat="false" ht="61.5" hidden="false" customHeight="true" outlineLevel="0" collapsed="false">
      <c r="B141" s="9" t="n">
        <v>133</v>
      </c>
      <c r="C141" s="10" t="s">
        <v>578</v>
      </c>
      <c r="D141" s="10" t="s">
        <v>589</v>
      </c>
      <c r="E141" s="10" t="s">
        <v>590</v>
      </c>
      <c r="F141" s="11" t="s">
        <v>29</v>
      </c>
      <c r="G141" s="10" t="s">
        <v>199</v>
      </c>
      <c r="H141" s="10" t="s">
        <v>31</v>
      </c>
      <c r="I141" s="10" t="s">
        <v>591</v>
      </c>
      <c r="J141" s="10" t="s">
        <v>592</v>
      </c>
      <c r="K141" s="10"/>
      <c r="L141" s="12"/>
      <c r="M141" s="13" t="s">
        <v>544</v>
      </c>
    </row>
    <row r="142" customFormat="false" ht="48" hidden="false" customHeight="true" outlineLevel="0" collapsed="false">
      <c r="B142" s="9" t="n">
        <v>134</v>
      </c>
      <c r="C142" s="10" t="s">
        <v>578</v>
      </c>
      <c r="D142" s="10" t="s">
        <v>593</v>
      </c>
      <c r="E142" s="10" t="s">
        <v>594</v>
      </c>
      <c r="F142" s="11" t="s">
        <v>29</v>
      </c>
      <c r="G142" s="10" t="s">
        <v>199</v>
      </c>
      <c r="H142" s="10" t="s">
        <v>31</v>
      </c>
      <c r="I142" s="10" t="s">
        <v>595</v>
      </c>
      <c r="J142" s="10" t="s">
        <v>596</v>
      </c>
      <c r="K142" s="10"/>
      <c r="L142" s="12"/>
      <c r="M142" s="13" t="s">
        <v>597</v>
      </c>
    </row>
    <row r="143" customFormat="false" ht="75.75" hidden="false" customHeight="true" outlineLevel="0" collapsed="false">
      <c r="B143" s="9" t="n">
        <v>135</v>
      </c>
      <c r="C143" s="10" t="s">
        <v>598</v>
      </c>
      <c r="D143" s="10" t="s">
        <v>599</v>
      </c>
      <c r="E143" s="10" t="s">
        <v>600</v>
      </c>
      <c r="F143" s="11" t="s">
        <v>29</v>
      </c>
      <c r="G143" s="10" t="s">
        <v>573</v>
      </c>
      <c r="H143" s="10" t="s">
        <v>31</v>
      </c>
      <c r="I143" s="10" t="s">
        <v>601</v>
      </c>
      <c r="J143" s="10" t="s">
        <v>602</v>
      </c>
      <c r="K143" s="10"/>
      <c r="L143" s="12"/>
      <c r="M143" s="13" t="s">
        <v>603</v>
      </c>
    </row>
    <row r="144" customFormat="false" ht="103.5" hidden="false" customHeight="true" outlineLevel="0" collapsed="false">
      <c r="B144" s="9" t="n">
        <v>136</v>
      </c>
      <c r="C144" s="10" t="s">
        <v>598</v>
      </c>
      <c r="D144" s="10" t="s">
        <v>604</v>
      </c>
      <c r="E144" s="10" t="s">
        <v>605</v>
      </c>
      <c r="F144" s="11" t="s">
        <v>29</v>
      </c>
      <c r="G144" s="10" t="s">
        <v>573</v>
      </c>
      <c r="H144" s="10" t="s">
        <v>31</v>
      </c>
      <c r="I144" s="10" t="s">
        <v>606</v>
      </c>
      <c r="J144" s="10" t="s">
        <v>607</v>
      </c>
      <c r="K144" s="10"/>
      <c r="L144" s="12"/>
      <c r="M144" s="13" t="s">
        <v>608</v>
      </c>
    </row>
    <row r="145" customFormat="false" ht="33.75" hidden="false" customHeight="true" outlineLevel="0" collapsed="false">
      <c r="B145" s="9" t="n">
        <v>137</v>
      </c>
      <c r="C145" s="10" t="s">
        <v>609</v>
      </c>
      <c r="D145" s="10" t="s">
        <v>610</v>
      </c>
      <c r="E145" s="10" t="s">
        <v>59</v>
      </c>
      <c r="F145" s="11" t="s">
        <v>29</v>
      </c>
      <c r="G145" s="10" t="s">
        <v>573</v>
      </c>
      <c r="H145" s="10" t="s">
        <v>31</v>
      </c>
      <c r="I145" s="10" t="s">
        <v>611</v>
      </c>
      <c r="J145" s="10" t="s">
        <v>612</v>
      </c>
      <c r="K145" s="10"/>
      <c r="L145" s="12"/>
      <c r="M145" s="13" t="s">
        <v>613</v>
      </c>
    </row>
    <row r="146" customFormat="false" ht="33.75" hidden="false" customHeight="true" outlineLevel="0" collapsed="false">
      <c r="B146" s="9" t="n">
        <v>138</v>
      </c>
      <c r="C146" s="10" t="s">
        <v>614</v>
      </c>
      <c r="D146" s="10" t="s">
        <v>615</v>
      </c>
      <c r="E146" s="10" t="s">
        <v>59</v>
      </c>
      <c r="F146" s="11" t="s">
        <v>29</v>
      </c>
      <c r="G146" s="10" t="s">
        <v>573</v>
      </c>
      <c r="H146" s="10" t="s">
        <v>31</v>
      </c>
      <c r="I146" s="10" t="s">
        <v>616</v>
      </c>
      <c r="J146" s="10" t="s">
        <v>617</v>
      </c>
      <c r="K146" s="10"/>
      <c r="L146" s="12"/>
      <c r="M146" s="13" t="s">
        <v>603</v>
      </c>
    </row>
    <row r="147" customFormat="false" ht="48" hidden="false" customHeight="true" outlineLevel="0" collapsed="false">
      <c r="B147" s="9" t="n">
        <v>139</v>
      </c>
      <c r="C147" s="10" t="s">
        <v>618</v>
      </c>
      <c r="D147" s="10" t="s">
        <v>619</v>
      </c>
      <c r="E147" s="10" t="s">
        <v>620</v>
      </c>
      <c r="F147" s="11" t="s">
        <v>29</v>
      </c>
      <c r="G147" s="10" t="s">
        <v>573</v>
      </c>
      <c r="H147" s="10" t="s">
        <v>31</v>
      </c>
      <c r="I147" s="10" t="s">
        <v>621</v>
      </c>
      <c r="J147" s="10" t="s">
        <v>622</v>
      </c>
      <c r="K147" s="10"/>
      <c r="L147" s="12"/>
      <c r="M147" s="13" t="s">
        <v>410</v>
      </c>
    </row>
    <row r="148" customFormat="false" ht="132" hidden="false" customHeight="true" outlineLevel="0" collapsed="false">
      <c r="B148" s="9" t="n">
        <v>140</v>
      </c>
      <c r="C148" s="10" t="s">
        <v>618</v>
      </c>
      <c r="D148" s="10" t="s">
        <v>623</v>
      </c>
      <c r="E148" s="10" t="s">
        <v>624</v>
      </c>
      <c r="F148" s="11" t="s">
        <v>29</v>
      </c>
      <c r="G148" s="10" t="s">
        <v>573</v>
      </c>
      <c r="H148" s="10" t="s">
        <v>31</v>
      </c>
      <c r="I148" s="10" t="s">
        <v>625</v>
      </c>
      <c r="J148" s="10" t="s">
        <v>626</v>
      </c>
      <c r="K148" s="10"/>
      <c r="L148" s="12"/>
      <c r="M148" s="13" t="s">
        <v>627</v>
      </c>
    </row>
    <row r="149" customFormat="false" ht="103.5" hidden="false" customHeight="true" outlineLevel="0" collapsed="false">
      <c r="B149" s="9" t="n">
        <v>141</v>
      </c>
      <c r="C149" s="10" t="s">
        <v>628</v>
      </c>
      <c r="D149" s="10" t="s">
        <v>629</v>
      </c>
      <c r="E149" s="10" t="s">
        <v>630</v>
      </c>
      <c r="F149" s="11" t="s">
        <v>29</v>
      </c>
      <c r="G149" s="10" t="s">
        <v>573</v>
      </c>
      <c r="H149" s="10" t="s">
        <v>31</v>
      </c>
      <c r="I149" s="10" t="s">
        <v>631</v>
      </c>
      <c r="J149" s="10" t="s">
        <v>632</v>
      </c>
      <c r="K149" s="10"/>
      <c r="L149" s="12"/>
      <c r="M149" s="13" t="s">
        <v>410</v>
      </c>
    </row>
    <row r="150" customFormat="false" ht="33.75" hidden="false" customHeight="true" outlineLevel="0" collapsed="false">
      <c r="B150" s="9" t="n">
        <v>142</v>
      </c>
      <c r="C150" s="10" t="s">
        <v>633</v>
      </c>
      <c r="D150" s="10" t="s">
        <v>634</v>
      </c>
      <c r="E150" s="10" t="s">
        <v>59</v>
      </c>
      <c r="F150" s="11" t="s">
        <v>29</v>
      </c>
      <c r="G150" s="10" t="s">
        <v>573</v>
      </c>
      <c r="H150" s="10" t="s">
        <v>31</v>
      </c>
      <c r="I150" s="10" t="s">
        <v>635</v>
      </c>
      <c r="J150" s="10" t="s">
        <v>636</v>
      </c>
      <c r="K150" s="10"/>
      <c r="L150" s="12"/>
      <c r="M150" s="13" t="s">
        <v>637</v>
      </c>
    </row>
    <row r="151" customFormat="false" ht="90" hidden="false" customHeight="true" outlineLevel="0" collapsed="false">
      <c r="B151" s="9" t="n">
        <v>143</v>
      </c>
      <c r="C151" s="10" t="s">
        <v>638</v>
      </c>
      <c r="D151" s="10" t="s">
        <v>639</v>
      </c>
      <c r="E151" s="10" t="s">
        <v>640</v>
      </c>
      <c r="F151" s="11" t="s">
        <v>29</v>
      </c>
      <c r="G151" s="10" t="s">
        <v>573</v>
      </c>
      <c r="H151" s="10" t="s">
        <v>31</v>
      </c>
      <c r="I151" s="10" t="s">
        <v>641</v>
      </c>
      <c r="J151" s="10" t="s">
        <v>642</v>
      </c>
      <c r="K151" s="10" t="s">
        <v>643</v>
      </c>
      <c r="L151" s="12"/>
      <c r="M151" s="13" t="s">
        <v>644</v>
      </c>
    </row>
    <row r="152" customFormat="false" ht="33.75" hidden="false" customHeight="true" outlineLevel="0" collapsed="false">
      <c r="B152" s="9" t="n">
        <v>144</v>
      </c>
      <c r="C152" s="10" t="s">
        <v>645</v>
      </c>
      <c r="D152" s="10" t="s">
        <v>646</v>
      </c>
      <c r="E152" s="10" t="s">
        <v>59</v>
      </c>
      <c r="F152" s="11" t="s">
        <v>29</v>
      </c>
      <c r="G152" s="10" t="s">
        <v>573</v>
      </c>
      <c r="H152" s="10" t="s">
        <v>31</v>
      </c>
      <c r="I152" s="10" t="s">
        <v>647</v>
      </c>
      <c r="J152" s="10" t="s">
        <v>648</v>
      </c>
      <c r="K152" s="10" t="s">
        <v>649</v>
      </c>
      <c r="L152" s="12"/>
      <c r="M152" s="13" t="s">
        <v>650</v>
      </c>
    </row>
    <row r="153" customFormat="false" ht="33.75" hidden="false" customHeight="true" outlineLevel="0" collapsed="false">
      <c r="B153" s="9" t="n">
        <v>145</v>
      </c>
      <c r="C153" s="10" t="s">
        <v>651</v>
      </c>
      <c r="D153" s="10" t="s">
        <v>652</v>
      </c>
      <c r="E153" s="10" t="s">
        <v>59</v>
      </c>
      <c r="F153" s="11" t="s">
        <v>29</v>
      </c>
      <c r="G153" s="10" t="s">
        <v>573</v>
      </c>
      <c r="H153" s="10" t="s">
        <v>31</v>
      </c>
      <c r="I153" s="10" t="s">
        <v>215</v>
      </c>
      <c r="J153" s="10" t="s">
        <v>653</v>
      </c>
      <c r="K153" s="10"/>
      <c r="L153" s="12"/>
      <c r="M153" s="13" t="s">
        <v>654</v>
      </c>
    </row>
    <row r="154" customFormat="false" ht="90" hidden="false" customHeight="true" outlineLevel="0" collapsed="false">
      <c r="B154" s="9" t="n">
        <v>146</v>
      </c>
      <c r="C154" s="10" t="s">
        <v>651</v>
      </c>
      <c r="D154" s="10" t="s">
        <v>655</v>
      </c>
      <c r="E154" s="10" t="s">
        <v>656</v>
      </c>
      <c r="F154" s="11" t="s">
        <v>29</v>
      </c>
      <c r="G154" s="10" t="s">
        <v>199</v>
      </c>
      <c r="H154" s="10" t="s">
        <v>31</v>
      </c>
      <c r="I154" s="10" t="s">
        <v>215</v>
      </c>
      <c r="J154" s="10" t="s">
        <v>657</v>
      </c>
      <c r="K154" s="10"/>
      <c r="L154" s="12"/>
      <c r="M154" s="13" t="s">
        <v>637</v>
      </c>
    </row>
    <row r="155" customFormat="false" ht="103.5" hidden="false" customHeight="true" outlineLevel="0" collapsed="false">
      <c r="B155" s="9" t="n">
        <v>147</v>
      </c>
      <c r="C155" s="10" t="s">
        <v>651</v>
      </c>
      <c r="D155" s="10" t="s">
        <v>658</v>
      </c>
      <c r="E155" s="10" t="s">
        <v>659</v>
      </c>
      <c r="F155" s="11" t="s">
        <v>29</v>
      </c>
      <c r="G155" s="10" t="s">
        <v>573</v>
      </c>
      <c r="H155" s="10" t="s">
        <v>31</v>
      </c>
      <c r="I155" s="10" t="s">
        <v>660</v>
      </c>
      <c r="J155" s="10" t="s">
        <v>661</v>
      </c>
      <c r="K155" s="10"/>
      <c r="L155" s="12"/>
      <c r="M155" s="13" t="s">
        <v>662</v>
      </c>
    </row>
    <row r="156" customFormat="false" ht="33.75" hidden="false" customHeight="true" outlineLevel="0" collapsed="false">
      <c r="B156" s="9" t="n">
        <v>148</v>
      </c>
      <c r="C156" s="10" t="s">
        <v>663</v>
      </c>
      <c r="D156" s="10" t="s">
        <v>664</v>
      </c>
      <c r="E156" s="10" t="s">
        <v>59</v>
      </c>
      <c r="F156" s="11" t="s">
        <v>29</v>
      </c>
      <c r="G156" s="10" t="s">
        <v>214</v>
      </c>
      <c r="H156" s="10" t="s">
        <v>206</v>
      </c>
      <c r="I156" s="10" t="s">
        <v>665</v>
      </c>
      <c r="J156" s="10" t="s">
        <v>666</v>
      </c>
      <c r="K156" s="10" t="s">
        <v>667</v>
      </c>
      <c r="L156" s="12"/>
      <c r="M156" s="13" t="s">
        <v>668</v>
      </c>
    </row>
    <row r="157" customFormat="false" ht="61.5" hidden="false" customHeight="true" outlineLevel="0" collapsed="false">
      <c r="B157" s="9" t="n">
        <v>149</v>
      </c>
      <c r="C157" s="10" t="s">
        <v>663</v>
      </c>
      <c r="D157" s="10" t="s">
        <v>669</v>
      </c>
      <c r="E157" s="10" t="s">
        <v>670</v>
      </c>
      <c r="F157" s="11" t="s">
        <v>29</v>
      </c>
      <c r="G157" s="10" t="s">
        <v>171</v>
      </c>
      <c r="H157" s="10" t="s">
        <v>31</v>
      </c>
      <c r="I157" s="10" t="s">
        <v>671</v>
      </c>
      <c r="J157" s="10" t="s">
        <v>672</v>
      </c>
      <c r="K157" s="10" t="s">
        <v>673</v>
      </c>
      <c r="L157" s="12"/>
      <c r="M157" s="13" t="s">
        <v>31</v>
      </c>
    </row>
    <row r="158" customFormat="false" ht="61.5" hidden="false" customHeight="true" outlineLevel="0" collapsed="false">
      <c r="B158" s="9" t="n">
        <v>150</v>
      </c>
      <c r="C158" s="10" t="s">
        <v>663</v>
      </c>
      <c r="D158" s="10" t="s">
        <v>674</v>
      </c>
      <c r="E158" s="10" t="s">
        <v>675</v>
      </c>
      <c r="F158" s="11" t="s">
        <v>29</v>
      </c>
      <c r="G158" s="10" t="s">
        <v>171</v>
      </c>
      <c r="H158" s="10" t="s">
        <v>31</v>
      </c>
      <c r="I158" s="10" t="s">
        <v>676</v>
      </c>
      <c r="J158" s="10" t="s">
        <v>677</v>
      </c>
      <c r="K158" s="10"/>
      <c r="L158" s="12"/>
      <c r="M158" s="13" t="s">
        <v>31</v>
      </c>
    </row>
  </sheetData>
  <autoFilter ref="B8:M158"/>
  <conditionalFormatting sqref="F9:F158">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678</v>
      </c>
    </row>
    <row r="4" customFormat="false" ht="15" hidden="false" customHeight="false" outlineLevel="0" collapsed="false">
      <c r="B4" s="15" t="s">
        <v>15</v>
      </c>
      <c r="C4" s="16" t="s">
        <v>679</v>
      </c>
      <c r="D4" s="16" t="s">
        <v>29</v>
      </c>
      <c r="E4" s="16" t="s">
        <v>467</v>
      </c>
      <c r="F4" s="16" t="s">
        <v>297</v>
      </c>
      <c r="G4" s="16" t="s">
        <v>680</v>
      </c>
      <c r="H4" s="16" t="s">
        <v>681</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10</v>
      </c>
      <c r="E6" s="18" t="n">
        <f aca="false">COUNTIFS('Master Requirements Tracker'!$C$9:$C$158,B6,'Master Requirements Tracker'!$F$9:$F$158,"In Progress")</f>
        <v>0</v>
      </c>
      <c r="F6" s="18" t="n">
        <f aca="false">COUNTIFS('Master Requirements Tracker'!$C$9:$C$158,B6,'Master Requirements Tracker'!$F$9:$F$158,"In Review")</f>
        <v>0</v>
      </c>
      <c r="G6" s="18" t="n">
        <f aca="false">COUNTIFS('Master Requirements Tracker'!$C$9:$C$158,B6,'Master Requirements Tracker'!$F$9:$F$158,"Planned")</f>
        <v>0</v>
      </c>
      <c r="H6" s="19" t="n">
        <f aca="false">IF(C6&gt;0,D6/C6,0)</f>
        <v>1</v>
      </c>
    </row>
    <row r="7" customFormat="false" ht="15" hidden="false" customHeight="false" outlineLevel="0" collapsed="false">
      <c r="B7" s="17" t="s">
        <v>107</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121</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175</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180</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190</v>
      </c>
      <c r="C11" s="18" t="n">
        <f aca="false">COUNTIF('Master Requirements Tracker'!$C$9:$C$158,B11)</f>
        <v>3</v>
      </c>
      <c r="D11" s="18" t="n">
        <f aca="false">COUNTIFS('Master Requirements Tracker'!$C$9:$C$158,B11,'Master Requirements Tracker'!$F$9:$F$158,"Completed")</f>
        <v>3</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0</v>
      </c>
      <c r="H11" s="19" t="n">
        <f aca="false">IF(C11&gt;0,D11/C11,0)</f>
        <v>1</v>
      </c>
    </row>
    <row r="12" customFormat="false" ht="15" hidden="false" customHeight="false" outlineLevel="0" collapsed="false">
      <c r="B12" s="17" t="s">
        <v>202</v>
      </c>
      <c r="C12" s="18" t="n">
        <f aca="false">COUNTIF('Master Requirements Tracker'!$C$9:$C$158,B12)</f>
        <v>7</v>
      </c>
      <c r="D12" s="18" t="n">
        <f aca="false">COUNTIFS('Master Requirements Tracker'!$C$9:$C$158,B12,'Master Requirements Tracker'!$F$9:$F$158,"Completed")</f>
        <v>7</v>
      </c>
      <c r="E12" s="18" t="n">
        <f aca="false">COUNTIFS('Master Requirements Tracker'!$C$9:$C$158,B12,'Master Requirements Tracker'!$F$9:$F$158,"In Progress")</f>
        <v>0</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1</v>
      </c>
    </row>
    <row r="13" customFormat="false" ht="15" hidden="false" customHeight="false" outlineLevel="0" collapsed="false">
      <c r="B13" s="17" t="s">
        <v>232</v>
      </c>
      <c r="C13" s="18" t="n">
        <f aca="false">COUNTIF('Master Requirements Tracker'!$C$9:$C$158,B13)</f>
        <v>7</v>
      </c>
      <c r="D13" s="18" t="n">
        <f aca="false">COUNTIFS('Master Requirements Tracker'!$C$9:$C$158,B13,'Master Requirements Tracker'!$F$9:$F$158,"Completed")</f>
        <v>7</v>
      </c>
      <c r="E13" s="18" t="n">
        <f aca="false">COUNTIFS('Master Requirements Tracker'!$C$9:$C$158,B13,'Master Requirements Tracker'!$F$9:$F$158,"In Progress")</f>
        <v>0</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1</v>
      </c>
    </row>
    <row r="14" customFormat="false" ht="15" hidden="false" customHeight="false" outlineLevel="0" collapsed="false">
      <c r="B14" s="17" t="s">
        <v>264</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270</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277</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299</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306</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319</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346</v>
      </c>
      <c r="C21" s="18" t="n">
        <f aca="false">COUNTIF('Master Requirements Tracker'!$C$9:$C$158,B21)</f>
        <v>4</v>
      </c>
      <c r="D21" s="18" t="n">
        <f aca="false">COUNTIFS('Master Requirements Tracker'!$C$9:$C$158,B21,'Master Requirements Tracker'!$F$9:$F$158,"Completed")</f>
        <v>4</v>
      </c>
      <c r="E21" s="18" t="n">
        <f aca="false">COUNTIFS('Master Requirements Tracker'!$C$9:$C$158,B21,'Master Requirements Tracker'!$F$9:$F$158,"In Progress")</f>
        <v>0</v>
      </c>
      <c r="F21" s="18" t="n">
        <f aca="false">COUNTIFS('Master Requirements Tracker'!$C$9:$C$158,B21,'Master Requirements Tracker'!$F$9:$F$158,"In Review")</f>
        <v>0</v>
      </c>
      <c r="G21" s="18" t="n">
        <f aca="false">COUNTIFS('Master Requirements Tracker'!$C$9:$C$158,B21,'Master Requirements Tracker'!$F$9:$F$158,"Planned")</f>
        <v>0</v>
      </c>
      <c r="H21" s="19" t="n">
        <f aca="false">IF(C21&gt;0,D21/C21,0)</f>
        <v>1</v>
      </c>
    </row>
    <row r="22" customFormat="false" ht="15" hidden="false" customHeight="false" outlineLevel="0" collapsed="false">
      <c r="B22" s="17" t="s">
        <v>362</v>
      </c>
      <c r="C22" s="18" t="n">
        <f aca="false">COUNTIF('Master Requirements Tracker'!$C$9:$C$158,B22)</f>
        <v>3</v>
      </c>
      <c r="D22" s="18" t="n">
        <f aca="false">COUNTIFS('Master Requirements Tracker'!$C$9:$C$158,B22,'Master Requirements Tracker'!$F$9:$F$158,"Completed")</f>
        <v>3</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0</v>
      </c>
      <c r="H22" s="19" t="n">
        <f aca="false">IF(C22&gt;0,D22/C22,0)</f>
        <v>1</v>
      </c>
    </row>
    <row r="23" customFormat="false" ht="15" hidden="false" customHeight="false" outlineLevel="0" collapsed="false">
      <c r="B23" s="17" t="s">
        <v>373</v>
      </c>
      <c r="C23" s="18" t="n">
        <f aca="false">COUNTIF('Master Requirements Tracker'!$C$9:$C$158,B23)</f>
        <v>3</v>
      </c>
      <c r="D23" s="18" t="n">
        <f aca="false">COUNTIFS('Master Requirements Tracker'!$C$9:$C$158,B23,'Master Requirements Tracker'!$F$9:$F$158,"Completed")</f>
        <v>2</v>
      </c>
      <c r="E23" s="18" t="n">
        <f aca="false">COUNTIFS('Master Requirements Tracker'!$C$9:$C$158,B23,'Master Requirements Tracker'!$F$9:$F$158,"In Progress")</f>
        <v>0</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0.666666666666667</v>
      </c>
    </row>
    <row r="24" customFormat="false" ht="15" hidden="false" customHeight="false" outlineLevel="0" collapsed="false">
      <c r="B24" s="17" t="s">
        <v>384</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0</v>
      </c>
      <c r="F24" s="18" t="n">
        <f aca="false">COUNTIFS('Master Requirements Tracker'!$C$9:$C$158,B24,'Master Requirements Tracker'!$F$9:$F$158,"In Review")</f>
        <v>1</v>
      </c>
      <c r="G24" s="18" t="n">
        <f aca="false">COUNTIFS('Master Requirements Tracker'!$C$9:$C$158,B24,'Master Requirements Tracker'!$F$9:$F$158,"Planned")</f>
        <v>0</v>
      </c>
      <c r="H24" s="19" t="n">
        <f aca="false">IF(C24&gt;0,D24/C24,0)</f>
        <v>0.5</v>
      </c>
    </row>
    <row r="25" customFormat="false" ht="15" hidden="false" customHeight="false" outlineLevel="0" collapsed="false">
      <c r="B25" s="17" t="s">
        <v>393</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398</v>
      </c>
      <c r="C26" s="18" t="n">
        <f aca="false">COUNTIF('Master Requirements Tracker'!$C$9:$C$158,B26)</f>
        <v>2</v>
      </c>
      <c r="D26" s="18" t="n">
        <f aca="false">COUNTIFS('Master Requirements Tracker'!$C$9:$C$158,B26,'Master Requirements Tracker'!$F$9:$F$158,"Completed")</f>
        <v>2</v>
      </c>
      <c r="E26" s="18" t="n">
        <f aca="false">COUNTIFS('Master Requirements Tracker'!$C$9:$C$158,B26,'Master Requirements Tracker'!$F$9:$F$158,"In Progress")</f>
        <v>0</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1</v>
      </c>
    </row>
    <row r="27" customFormat="false" ht="15" hidden="false" customHeight="false" outlineLevel="0" collapsed="false">
      <c r="B27" s="17" t="s">
        <v>405</v>
      </c>
      <c r="C27" s="18" t="n">
        <f aca="false">COUNTIF('Master Requirements Tracker'!$C$9:$C$158,B27)</f>
        <v>4</v>
      </c>
      <c r="D27" s="18" t="n">
        <f aca="false">COUNTIFS('Master Requirements Tracker'!$C$9:$C$158,B27,'Master Requirements Tracker'!$F$9:$F$158,"Completed")</f>
        <v>4</v>
      </c>
      <c r="E27" s="18" t="n">
        <f aca="false">COUNTIFS('Master Requirements Tracker'!$C$9:$C$158,B27,'Master Requirements Tracker'!$F$9:$F$158,"In Progress")</f>
        <v>0</v>
      </c>
      <c r="F27" s="18" t="n">
        <f aca="false">COUNTIFS('Master Requirements Tracker'!$C$9:$C$158,B27,'Master Requirements Tracker'!$F$9:$F$158,"In Review")</f>
        <v>0</v>
      </c>
      <c r="G27" s="18" t="n">
        <f aca="false">COUNTIFS('Master Requirements Tracker'!$C$9:$C$158,B27,'Master Requirements Tracker'!$F$9:$F$158,"Planned")</f>
        <v>0</v>
      </c>
      <c r="H27" s="19" t="n">
        <f aca="false">IF(C27&gt;0,D27/C27,0)</f>
        <v>1</v>
      </c>
    </row>
    <row r="28" customFormat="false" ht="15" hidden="false" customHeight="false" outlineLevel="0" collapsed="false">
      <c r="B28" s="17" t="s">
        <v>423</v>
      </c>
      <c r="C28" s="18" t="n">
        <f aca="false">COUNTIF('Master Requirements Tracker'!$C$9:$C$158,B28)</f>
        <v>5</v>
      </c>
      <c r="D28" s="18" t="n">
        <f aca="false">COUNTIFS('Master Requirements Tracker'!$C$9:$C$158,B28,'Master Requirements Tracker'!$F$9:$F$158,"Completed")</f>
        <v>5</v>
      </c>
      <c r="E28" s="18" t="n">
        <f aca="false">COUNTIFS('Master Requirements Tracker'!$C$9:$C$158,B28,'Master Requirements Tracker'!$F$9:$F$158,"In Progress")</f>
        <v>0</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1</v>
      </c>
    </row>
    <row r="29" customFormat="false" ht="15" hidden="false" customHeight="false" outlineLevel="0" collapsed="false">
      <c r="B29" s="17" t="s">
        <v>445</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457</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480</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484</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515</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529</v>
      </c>
      <c r="C34" s="18" t="n">
        <f aca="false">COUNTIF('Master Requirements Tracker'!$C$9:$C$158,B34)</f>
        <v>3</v>
      </c>
      <c r="D34" s="18" t="n">
        <f aca="false">COUNTIFS('Master Requirements Tracker'!$C$9:$C$158,B34,'Master Requirements Tracker'!$F$9:$F$158,"Completed")</f>
        <v>3</v>
      </c>
      <c r="E34" s="18" t="n">
        <f aca="false">COUNTIFS('Master Requirements Tracker'!$C$9:$C$158,B34,'Master Requirements Tracker'!$F$9:$F$158,"In Progress")</f>
        <v>0</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1</v>
      </c>
    </row>
    <row r="35" customFormat="false" ht="15" hidden="false" customHeight="false" outlineLevel="0" collapsed="false">
      <c r="B35" s="17" t="s">
        <v>545</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558</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561</v>
      </c>
      <c r="C37" s="18" t="n">
        <f aca="false">COUNTIF('Master Requirements Tracker'!$C$9:$C$158,B37)</f>
        <v>2</v>
      </c>
      <c r="D37" s="18" t="n">
        <f aca="false">COUNTIFS('Master Requirements Tracker'!$C$9:$C$158,B37,'Master Requirements Tracker'!$F$9:$F$158,"Completed")</f>
        <v>2</v>
      </c>
      <c r="E37" s="18" t="n">
        <f aca="false">COUNTIFS('Master Requirements Tracker'!$C$9:$C$158,B37,'Master Requirements Tracker'!$F$9:$F$158,"In Progress")</f>
        <v>0</v>
      </c>
      <c r="F37" s="18" t="n">
        <f aca="false">COUNTIFS('Master Requirements Tracker'!$C$9:$C$158,B37,'Master Requirements Tracker'!$F$9:$F$158,"In Review")</f>
        <v>0</v>
      </c>
      <c r="G37" s="18" t="n">
        <f aca="false">COUNTIFS('Master Requirements Tracker'!$C$9:$C$158,B37,'Master Requirements Tracker'!$F$9:$F$158,"Planned")</f>
        <v>0</v>
      </c>
      <c r="H37" s="19" t="n">
        <f aca="false">IF(C37&gt;0,D37/C37,0)</f>
        <v>1</v>
      </c>
    </row>
    <row r="38" customFormat="false" ht="15" hidden="false" customHeight="false" outlineLevel="0" collapsed="false">
      <c r="B38" s="17" t="s">
        <v>570</v>
      </c>
      <c r="C38" s="18" t="n">
        <f aca="false">COUNTIF('Master Requirements Tracker'!$C$9:$C$158,B38)</f>
        <v>1</v>
      </c>
      <c r="D38" s="18" t="n">
        <f aca="false">COUNTIFS('Master Requirements Tracker'!$C$9:$C$158,B38,'Master Requirements Tracker'!$F$9:$F$158,"Completed")</f>
        <v>1</v>
      </c>
      <c r="E38" s="18" t="n">
        <f aca="false">COUNTIFS('Master Requirements Tracker'!$C$9:$C$158,B38,'Master Requirements Tracker'!$F$9:$F$158,"In Progress")</f>
        <v>0</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1</v>
      </c>
    </row>
    <row r="39" customFormat="false" ht="15" hidden="false" customHeight="false" outlineLevel="0" collapsed="false">
      <c r="B39" s="17" t="s">
        <v>578</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598</v>
      </c>
      <c r="C40" s="18" t="n">
        <f aca="false">COUNTIF('Master Requirements Tracker'!$C$9:$C$158,B40)</f>
        <v>2</v>
      </c>
      <c r="D40" s="18" t="n">
        <f aca="false">COUNTIFS('Master Requirements Tracker'!$C$9:$C$158,B40,'Master Requirements Tracker'!$F$9:$F$158,"Completed")</f>
        <v>2</v>
      </c>
      <c r="E40" s="18" t="n">
        <f aca="false">COUNTIFS('Master Requirements Tracker'!$C$9:$C$158,B40,'Master Requirements Tracker'!$F$9:$F$158,"In Progress")</f>
        <v>0</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1</v>
      </c>
    </row>
    <row r="41" customFormat="false" ht="15" hidden="false" customHeight="false" outlineLevel="0" collapsed="false">
      <c r="B41" s="17" t="s">
        <v>609</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614</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618</v>
      </c>
      <c r="C43" s="18" t="n">
        <f aca="false">COUNTIF('Master Requirements Tracker'!$C$9:$C$158,B43)</f>
        <v>2</v>
      </c>
      <c r="D43" s="18" t="n">
        <f aca="false">COUNTIFS('Master Requirements Tracker'!$C$9:$C$158,B43,'Master Requirements Tracker'!$F$9:$F$158,"Completed")</f>
        <v>2</v>
      </c>
      <c r="E43" s="18" t="n">
        <f aca="false">COUNTIFS('Master Requirements Tracker'!$C$9:$C$158,B43,'Master Requirements Tracker'!$F$9:$F$158,"In Progress")</f>
        <v>0</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1</v>
      </c>
    </row>
    <row r="44" customFormat="false" ht="15" hidden="false" customHeight="false" outlineLevel="0" collapsed="false">
      <c r="B44" s="17" t="s">
        <v>628</v>
      </c>
      <c r="C44" s="18" t="n">
        <f aca="false">COUNTIF('Master Requirements Tracker'!$C$9:$C$158,B44)</f>
        <v>1</v>
      </c>
      <c r="D44" s="18" t="n">
        <f aca="false">COUNTIFS('Master Requirements Tracker'!$C$9:$C$158,B44,'Master Requirements Tracker'!$F$9:$F$158,"Completed")</f>
        <v>1</v>
      </c>
      <c r="E44" s="18" t="n">
        <f aca="false">COUNTIFS('Master Requirements Tracker'!$C$9:$C$158,B44,'Master Requirements Tracker'!$F$9:$F$158,"In Progress")</f>
        <v>0</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1</v>
      </c>
    </row>
    <row r="45" customFormat="false" ht="15" hidden="false" customHeight="false" outlineLevel="0" collapsed="false">
      <c r="B45" s="17" t="s">
        <v>633</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638</v>
      </c>
      <c r="C46" s="18" t="n">
        <f aca="false">COUNTIF('Master Requirements Tracker'!$C$9:$C$158,B46)</f>
        <v>1</v>
      </c>
      <c r="D46" s="18" t="n">
        <f aca="false">COUNTIFS('Master Requirements Tracker'!$C$9:$C$158,B46,'Master Requirements Tracker'!$F$9:$F$158,"Completed")</f>
        <v>1</v>
      </c>
      <c r="E46" s="18" t="n">
        <f aca="false">COUNTIFS('Master Requirements Tracker'!$C$9:$C$158,B46,'Master Requirements Tracker'!$F$9:$F$158,"In Progress")</f>
        <v>0</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1</v>
      </c>
    </row>
    <row r="47" customFormat="false" ht="15" hidden="false" customHeight="false" outlineLevel="0" collapsed="false">
      <c r="B47" s="17" t="s">
        <v>645</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651</v>
      </c>
      <c r="C48" s="18" t="n">
        <f aca="false">COUNTIF('Master Requirements Tracker'!$C$9:$C$158,B48)</f>
        <v>3</v>
      </c>
      <c r="D48" s="18" t="n">
        <f aca="false">COUNTIFS('Master Requirements Tracker'!$C$9:$C$158,B48,'Master Requirements Tracker'!$F$9:$F$158,"Completed")</f>
        <v>3</v>
      </c>
      <c r="E48" s="18" t="n">
        <f aca="false">COUNTIFS('Master Requirements Tracker'!$C$9:$C$158,B48,'Master Requirements Tracker'!$F$9:$F$158,"In Progress")</f>
        <v>0</v>
      </c>
      <c r="F48" s="18" t="n">
        <f aca="false">COUNTIFS('Master Requirements Tracker'!$C$9:$C$158,B48,'Master Requirements Tracker'!$F$9:$F$158,"In Review")</f>
        <v>0</v>
      </c>
      <c r="G48" s="18" t="n">
        <f aca="false">COUNTIFS('Master Requirements Tracker'!$C$9:$C$158,B48,'Master Requirements Tracker'!$F$9:$F$158,"Planned")</f>
        <v>0</v>
      </c>
      <c r="H48" s="19" t="n">
        <f aca="false">IF(C48&gt;0,D48/C48,0)</f>
        <v>1</v>
      </c>
    </row>
    <row r="49" customFormat="false" ht="15" hidden="false" customHeight="false" outlineLevel="0" collapsed="false">
      <c r="B49" s="17" t="s">
        <v>663</v>
      </c>
      <c r="C49" s="18" t="n">
        <f aca="false">COUNTIF('Master Requirements Tracker'!$C$9:$C$158,B49)</f>
        <v>3</v>
      </c>
      <c r="D49" s="18" t="n">
        <f aca="false">COUNTIFS('Master Requirements Tracker'!$C$9:$C$158,B49,'Master Requirements Tracker'!$F$9:$F$158,"Completed")</f>
        <v>3</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0</v>
      </c>
      <c r="H49" s="19" t="n">
        <f aca="false">IF(C49&gt;0,D49/C49,0)</f>
        <v>1</v>
      </c>
    </row>
    <row r="50" customFormat="false" ht="15" hidden="false" customHeight="false" outlineLevel="0" collapsed="false">
      <c r="B50" s="20" t="s">
        <v>679</v>
      </c>
      <c r="C50" s="21" t="n">
        <f aca="false">SUM(C5:C49)</f>
        <v>150</v>
      </c>
      <c r="D50" s="21" t="n">
        <f aca="false">SUM(D5:D49)</f>
        <v>146</v>
      </c>
      <c r="E50" s="21" t="n">
        <f aca="false">SUM(E5:E49)</f>
        <v>1</v>
      </c>
      <c r="F50" s="21" t="n">
        <f aca="false">SUM(F5:F49)</f>
        <v>3</v>
      </c>
      <c r="G50" s="21" t="n">
        <f aca="false">SUM(G5:G49)</f>
        <v>0</v>
      </c>
      <c r="H50" s="22" t="n">
        <f aca="false">IF(C50&gt;0,D50/C50,0)</f>
        <v>0.973333333333333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682</v>
      </c>
    </row>
    <row r="4" customFormat="false" ht="15" hidden="false" customHeight="false" outlineLevel="0" collapsed="false">
      <c r="B4" s="23" t="s">
        <v>683</v>
      </c>
      <c r="C4" s="23" t="s">
        <v>684</v>
      </c>
      <c r="D4" s="23" t="s">
        <v>685</v>
      </c>
      <c r="E4" s="23" t="s">
        <v>18</v>
      </c>
    </row>
    <row r="5" customFormat="false" ht="30" hidden="false" customHeight="true" outlineLevel="0" collapsed="false">
      <c r="B5" s="24" t="s">
        <v>686</v>
      </c>
      <c r="C5" s="24" t="s">
        <v>687</v>
      </c>
      <c r="D5" s="24" t="s">
        <v>688</v>
      </c>
      <c r="E5" s="25" t="s">
        <v>29</v>
      </c>
    </row>
    <row r="6" customFormat="false" ht="30" hidden="false" customHeight="true" outlineLevel="0" collapsed="false">
      <c r="B6" s="24" t="s">
        <v>689</v>
      </c>
      <c r="C6" s="24" t="s">
        <v>690</v>
      </c>
      <c r="D6" s="24" t="s">
        <v>691</v>
      </c>
      <c r="E6" s="25" t="s">
        <v>29</v>
      </c>
    </row>
    <row r="7" customFormat="false" ht="30" hidden="false" customHeight="true" outlineLevel="0" collapsed="false">
      <c r="B7" s="24" t="s">
        <v>692</v>
      </c>
      <c r="C7" s="24" t="s">
        <v>693</v>
      </c>
      <c r="D7" s="24" t="s">
        <v>694</v>
      </c>
      <c r="E7" s="25" t="s">
        <v>29</v>
      </c>
    </row>
    <row r="8" customFormat="false" ht="30" hidden="false" customHeight="true" outlineLevel="0" collapsed="false">
      <c r="B8" s="24" t="s">
        <v>695</v>
      </c>
      <c r="C8" s="24" t="s">
        <v>696</v>
      </c>
      <c r="D8" s="24" t="s">
        <v>697</v>
      </c>
      <c r="E8" s="25" t="s">
        <v>297</v>
      </c>
    </row>
    <row r="9" customFormat="false" ht="30" hidden="false" customHeight="true" outlineLevel="0" collapsed="false">
      <c r="B9" s="24" t="s">
        <v>698</v>
      </c>
      <c r="C9" s="24" t="s">
        <v>699</v>
      </c>
      <c r="D9" s="24" t="s">
        <v>700</v>
      </c>
      <c r="E9" s="25" t="s">
        <v>467</v>
      </c>
    </row>
    <row r="10" customFormat="false" ht="30" hidden="false" customHeight="true" outlineLevel="0" collapsed="false">
      <c r="B10" s="24" t="s">
        <v>701</v>
      </c>
      <c r="C10" s="24" t="s">
        <v>702</v>
      </c>
      <c r="D10" s="24" t="s">
        <v>703</v>
      </c>
      <c r="E10" s="25" t="s">
        <v>29</v>
      </c>
    </row>
    <row r="11" customFormat="false" ht="30" hidden="false" customHeight="true" outlineLevel="0" collapsed="false">
      <c r="B11" s="24" t="s">
        <v>704</v>
      </c>
      <c r="C11" s="24" t="s">
        <v>705</v>
      </c>
      <c r="D11" s="24" t="s">
        <v>706</v>
      </c>
      <c r="E11" s="25" t="s">
        <v>680</v>
      </c>
    </row>
    <row r="12" customFormat="false" ht="30" hidden="false" customHeight="true" outlineLevel="0" collapsed="false">
      <c r="B12" s="24" t="s">
        <v>707</v>
      </c>
      <c r="C12" s="24" t="s">
        <v>708</v>
      </c>
      <c r="D12" s="24" t="s">
        <v>709</v>
      </c>
      <c r="E12" s="25" t="s">
        <v>297</v>
      </c>
    </row>
    <row r="13" customFormat="false" ht="30" hidden="false" customHeight="true" outlineLevel="0" collapsed="false">
      <c r="B13" s="24" t="s">
        <v>710</v>
      </c>
      <c r="C13" s="24" t="s">
        <v>711</v>
      </c>
      <c r="D13" s="24" t="s">
        <v>712</v>
      </c>
      <c r="E13" s="25" t="s">
        <v>297</v>
      </c>
    </row>
  </sheetData>
  <conditionalFormatting sqref="E5:E13">
    <cfRule type="cellIs" priority="2" operator="equal" aboveAverage="0" equalAverage="0" bottom="0" percent="0" rank="0" text="" dxfId="11">
      <formula>"Completed"</formula>
    </cfRule>
    <cfRule type="cellIs" priority="3" operator="equal" aboveAverage="0" equalAverage="0" bottom="0" percent="0" rank="0" text="" dxfId="12">
      <formula>"In Progress"</formula>
    </cfRule>
    <cfRule type="cellIs" priority="4" operator="equal" aboveAverage="0" equalAverage="0" bottom="0" percent="0" rank="0" text="" dxfId="13">
      <formula>"In Review"</formula>
    </cfRule>
    <cfRule type="cellIs" priority="5" operator="equal" aboveAverage="0" equalAverage="0" bottom="0" percent="0" rank="0" text="" dxfId="14">
      <formula>"Planned"</formula>
    </cfRule>
  </conditionalFormatting>
  <dataValidations count="1">
    <dataValidation allowBlank="false" errorStyle="stop" operator="between" showDropDown="false" showErrorMessage="false" showInputMessage="false" sqref="E5:E13"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713</v>
      </c>
    </row>
    <row r="4" customFormat="false" ht="52.5" hidden="false" customHeight="true" outlineLevel="0" collapsed="false">
      <c r="B4" s="26" t="s">
        <v>714</v>
      </c>
      <c r="C4" s="27" t="s">
        <v>715</v>
      </c>
    </row>
    <row r="5" customFormat="false" ht="37.5" hidden="false" customHeight="true" outlineLevel="0" collapsed="false">
      <c r="B5" s="26" t="s">
        <v>29</v>
      </c>
      <c r="C5" s="27" t="s">
        <v>716</v>
      </c>
    </row>
    <row r="6" customFormat="false" ht="22.5" hidden="false" customHeight="true" outlineLevel="0" collapsed="false">
      <c r="B6" s="26" t="s">
        <v>467</v>
      </c>
      <c r="C6" s="27" t="s">
        <v>717</v>
      </c>
    </row>
    <row r="7" customFormat="false" ht="37.5" hidden="false" customHeight="true" outlineLevel="0" collapsed="false">
      <c r="B7" s="26" t="s">
        <v>297</v>
      </c>
      <c r="C7" s="27" t="s">
        <v>718</v>
      </c>
    </row>
    <row r="8" customFormat="false" ht="22.5" hidden="false" customHeight="true" outlineLevel="0" collapsed="false">
      <c r="B8" s="26" t="s">
        <v>680</v>
      </c>
      <c r="C8" s="27" t="s">
        <v>719</v>
      </c>
    </row>
    <row r="9" customFormat="false" ht="52.5" hidden="false" customHeight="true" outlineLevel="0" collapsed="false">
      <c r="B9" s="26" t="s">
        <v>21</v>
      </c>
      <c r="C9" s="27" t="s">
        <v>720</v>
      </c>
    </row>
    <row r="10" customFormat="false" ht="37.5" hidden="false" customHeight="true" outlineLevel="0" collapsed="false">
      <c r="B10" s="26" t="s">
        <v>22</v>
      </c>
      <c r="C10" s="27" t="s">
        <v>721</v>
      </c>
    </row>
    <row r="11" customFormat="false" ht="37.5" hidden="false" customHeight="true" outlineLevel="0" collapsed="false">
      <c r="B11" s="26" t="s">
        <v>722</v>
      </c>
      <c r="C11" s="27" t="s">
        <v>723</v>
      </c>
    </row>
    <row r="12" customFormat="false" ht="37.5" hidden="false" customHeight="true" outlineLevel="0" collapsed="false">
      <c r="B12" s="26" t="s">
        <v>20</v>
      </c>
      <c r="C12" s="27" t="s">
        <v>724</v>
      </c>
    </row>
    <row r="13" customFormat="false" ht="22.5" hidden="false" customHeight="true" outlineLevel="0" collapsed="false">
      <c r="B13" s="26" t="s">
        <v>725</v>
      </c>
      <c r="C13" s="27" t="s">
        <v>726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2026-10-13T01:51:50Z</dcterms:created>
  <dc:creator>openpyxl</dc:creator>
  <dc:description/>
  <dc:language>en-US</dc:language>
  <cp:lastModifiedBy/>
  <dcterms:modified xsi:type="dcterms:W3CDTF">2026-10-13T01:51:51Z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